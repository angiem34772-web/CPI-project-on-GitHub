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drawings/vmlDrawing2.vml" ContentType="application/vnd.openxmlformats-officedocument.vmlDrawing"/>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ta" sheetId="2" state="visible" r:id="rId4"/>
    <sheet name="Nowcast" sheetId="3" state="visible" r:id="rId5"/>
    <sheet name="Opportunities" sheetId="4" state="visible" r:id="rId6"/>
    <sheet name="Backtest" sheetId="5" state="visible" r:id="rId7"/>
    <sheet name="Brackets" sheetId="6" state="visible" r:id="rId8"/>
    <sheet name="Forecasters" sheetId="7" state="visible" r:id="rId9"/>
    <sheet name="Sources" sheetId="8" state="visible" r:id="rId10"/>
    <sheet name="Gasoline" sheetId="9" state="visible" r:id="rId11"/>
    <sheet name="SeasonalFactors" sheetId="10" state="visible" r:id="rId12"/>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B10" authorId="0">
      <text>
        <r>
          <rPr>
            <sz val="10"/>
            <rFont val="Arial"/>
            <family val="2"/>
          </rPr>
          <t xml:space="preserve">Judgmental. Covers item-level composition effects, collection-timing quirks, and the fact that component errors are correlated in practice. Widen for fatter tails.</t>
        </r>
      </text>
    </comment>
    <comment ref="E40" authorId="0">
      <text>
        <r>
          <rPr>
            <sz val="10"/>
            <rFont val="Arial"/>
            <family val="2"/>
          </rPr>
          <t xml:space="preserve">Rolled-forward weights do not sum to exactly 100 because residual categories use their parent's price relative; the aggregation below divides by this sum so the error is harmless.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B8" authorId="0">
      <text>
        <r>
          <rPr>
            <sz val="10"/>
            <rFont val="Arial"/>
            <family val="2"/>
          </rPr>
          <t xml:space="preserve">Kalshi fee ≈ 0.07 × P × (1−P) per contract, capped; ~1.75¢ at P=0.5. Check kalshi.com/fee-schedule.</t>
        </r>
      </text>
    </comment>
  </commentList>
</comments>
</file>

<file path=xl/sharedStrings.xml><?xml version="1.0" encoding="utf-8"?>
<sst xmlns="http://schemas.openxmlformats.org/spreadsheetml/2006/main" count="852" uniqueCount="544">
  <si>
    <t xml:space="preserve">CPI NOWCAST MODEL — bottom-up replica of the BLS aggregation (Sept 2026 print, released Oct 14 2026 8:30 ET)</t>
  </si>
  <si>
    <t xml:space="preserve">WHAT THIS IS</t>
  </si>
  <si>
    <t xml:space="preserve">A component-level model of the Consumer Price Index built the way the BLS builds it: each expenditure category gets a</t>
  </si>
  <si>
    <t xml:space="preserve">forecast monthly price change, those are weighted by relative importance, and the sum is the unrounded headline and core</t>
  </si>
  <si>
    <t xml:space="preserve">CPI. The unrounded result is then mapped to the one-decimal YoY figure Kalshi settles on, and a probability is assigned to</t>
  </si>
  <si>
    <t xml:space="preserve">each bracket so model odds can be compared to market prices. This is the same structure Brian Golden describes in the</t>
  </si>
  <si>
    <t xml:space="preserve">Bloomberg piece (Oct 13 2026): 'a bunch of good small guesses', not a macro view.</t>
  </si>
  <si>
    <t xml:space="preserve">HOW TO USE</t>
  </si>
  <si>
    <t xml:space="preserve">1. Nowcast tab — blue cells are inputs. Change the NSA MoM forecast and standard error for any component.</t>
  </si>
  <si>
    <t xml:space="preserve">2. Brackets tab — reads the Nowcast and shows model probability vs Kalshi price for every YoY bracket. Edge = model minus market.</t>
  </si>
  <si>
    <t xml:space="preserve">3. Forecasters tab — consensus and bank forecasts converted to the same unrounded YoY scale so you can see who sits where.</t>
  </si>
  <si>
    <t xml:space="preserve">4. Backtest tab — the tracking log. Fill in your forecast and consensus before each print; the sheet scores cumulative absolute error</t>
  </si>
  <si>
    <t xml:space="preserve">   the same way Bloomberg scored the banks in the article.</t>
  </si>
  <si>
    <t xml:space="preserve">5. Data tab — the raw BLS Table 1 numbers the model is built on. Do not edit; replace with the new Table 1 after each release.</t>
  </si>
  <si>
    <t xml:space="preserve">COLOR LEGEND</t>
  </si>
  <si>
    <t xml:space="preserve">Blue text = hardcoded input you can change.   Black = formula.   Green = link from another sheet.   Yellow fill = key output.</t>
  </si>
  <si>
    <t xml:space="preserve">KEY MECHANICS TO UNDERSTAND</t>
  </si>
  <si>
    <t xml:space="preserve">• Kalshi settles on the UNADJUSTED (NSA) year-over-year figure, rounded to one decimal. So the model forecasts NSA MoM first,</t>
  </si>
  <si>
    <t xml:space="preserve">  then derives seasonally adjusted (SA) MoM for comparison with Wall Street, which quotes SA.</t>
  </si>
  <si>
    <t xml:space="preserve">• YoY = (Aug 2026 index × (1 + Sept NSA MoM)) / Sept 2025 index − 1. The Sept 2025 base (324.800) is fixed, so the whole</t>
  </si>
  <si>
    <t xml:space="preserve">  question is one month's NSA change. Each 0.1pp YoY bracket is about 0.097pp of NSA MoM wide.</t>
  </si>
  <si>
    <t xml:space="preserve">• Relative importances published in Table 1 are for the PRIOR month (Jul 2026). The BLS rolls them forward by relative price</t>
  </si>
  <si>
    <t xml:space="preserve">  change before aggregating; the Nowcast tab does this (col E).</t>
  </si>
  <si>
    <t xml:space="preserve">• Seasonal factors: official 2026 BLS factors (updated each February; the file in use was calculated with data through Dec 2025),</t>
  </si>
  <si>
    <t xml:space="preserve">  Col H now uses the OFFICIAL 2026 factor file (cpi-seasonal-factors.xlsx, calculated through Dec 2025): gap = (Aug factor / Sep factor − 1) × 100. Aggregates without a published factor (apparel, lodging, residuals) use a weighted average of their sub-series.</t>
  </si>
  <si>
    <t xml:space="preserve">• Uncertainty: aggregate SD = sqrt(Σ(weight × component SE)²) + BLS sampling SE (0.04) + model residual (input). Components are</t>
  </si>
  <si>
    <t xml:space="preserve">  treated as independent, which understates tail risk a little. Widen the residual if you want fatter tails.</t>
  </si>
  <si>
    <t xml:space="preserve">WHAT THIS MODEL DOES NOT DO (yet)</t>
  </si>
  <si>
    <t xml:space="preserve">• Gasoline is calibrated to EIA weekly retail prices (see Gasoline tab). Manheim and airfare data are still judgment inputs.</t>
  </si>
  <si>
    <t xml:space="preserve">• It does not replicate the BLS item-level geometric-mean aggregation inside each category, only the Laspeyres-style aggregation</t>
  </si>
  <si>
    <t xml:space="preserve">  across categories, which is where almost all of the variance lives.</t>
  </si>
  <si>
    <t xml:space="preserve">• Backtested out-of-sample on 20 prints (Nov 2024–Aug 2026): see Backtest tab. v4 (residual categories modeled) scores 1.2 cumulative |SA error| over 18, tied with the top of the Bloomberg bank chart.</t>
  </si>
  <si>
    <t xml:space="preserve">Not financial advice. v4, built Oct 14 2026 from public BLS, Kalshi API, and published forecaster data (see Sources tab).</t>
  </si>
  <si>
    <t xml:space="preserve">BLS CPI-U Table 1 — August 2026 release (Sept 11 2026) and September 2025 release (Oct 24 2025)</t>
  </si>
  <si>
    <t xml:space="preserve">Source: https://www.bls.gov/news.release/cpi.t01.htm and https://www.bls.gov/news.release/archives/cpi_10242025.htm. All values exactly as published.</t>
  </si>
  <si>
    <t xml:space="preserve">Category</t>
  </si>
  <si>
    <t xml:space="preserve">Rel. imp. Jul 2026</t>
  </si>
  <si>
    <t xml:space="preserve">Index Aug 2025</t>
  </si>
  <si>
    <t xml:space="preserve">Index Jul 2026</t>
  </si>
  <si>
    <t xml:space="preserve">Index Aug 2026</t>
  </si>
  <si>
    <t xml:space="preserve">YoY % Aug 26</t>
  </si>
  <si>
    <t xml:space="preserve">NSA MoM % Aug 26</t>
  </si>
  <si>
    <t xml:space="preserve">SA MoM % Jun</t>
  </si>
  <si>
    <t xml:space="preserve">SA MoM % Jul</t>
  </si>
  <si>
    <t xml:space="preserve">SA MoM % Aug</t>
  </si>
  <si>
    <t xml:space="preserve">SA?</t>
  </si>
  <si>
    <t xml:space="preserve">Rel. imp. Aug 2025</t>
  </si>
  <si>
    <t xml:space="preserve">Index Sep 2025</t>
  </si>
  <si>
    <t xml:space="preserve">NSA MoM % Sep 25</t>
  </si>
  <si>
    <t xml:space="preserve">SA MoM % Jul 25</t>
  </si>
  <si>
    <t xml:space="preserve">SA MoM % Aug 25</t>
  </si>
  <si>
    <t xml:space="preserve">SA MoM % Sep 25</t>
  </si>
  <si>
    <t xml:space="preserve">All items</t>
  </si>
  <si>
    <t xml:space="preserve">SA</t>
  </si>
  <si>
    <t xml:space="preserve">Food</t>
  </si>
  <si>
    <t xml:space="preserve">Food at home</t>
  </si>
  <si>
    <t xml:space="preserve">Food away from home</t>
  </si>
  <si>
    <t xml:space="preserve">NSA</t>
  </si>
  <si>
    <t xml:space="preserve">Energy</t>
  </si>
  <si>
    <t xml:space="preserve">Energy commodities</t>
  </si>
  <si>
    <t xml:space="preserve">Fuel oil</t>
  </si>
  <si>
    <t xml:space="preserve">Motor fuel</t>
  </si>
  <si>
    <t xml:space="preserve">Gasoline (all types)</t>
  </si>
  <si>
    <t xml:space="preserve">Energy services</t>
  </si>
  <si>
    <t xml:space="preserve">Electricity</t>
  </si>
  <si>
    <t xml:space="preserve">Utility (piped) gas service</t>
  </si>
  <si>
    <t xml:space="preserve">All items less food and energy</t>
  </si>
  <si>
    <t xml:space="preserve">Commodities less food and energy commodities</t>
  </si>
  <si>
    <t xml:space="preserve">Apparel</t>
  </si>
  <si>
    <t xml:space="preserve">New vehicles</t>
  </si>
  <si>
    <t xml:space="preserve">Used cars and trucks</t>
  </si>
  <si>
    <t xml:space="preserve">Medical care commodities</t>
  </si>
  <si>
    <t xml:space="preserve">Alcoholic beverages</t>
  </si>
  <si>
    <t xml:space="preserve">Tobacco and smoking products</t>
  </si>
  <si>
    <t xml:space="preserve">Services less energy services</t>
  </si>
  <si>
    <t xml:space="preserve">Shelter</t>
  </si>
  <si>
    <t xml:space="preserve">Rent of primary residence</t>
  </si>
  <si>
    <t xml:space="preserve">Owners' equivalent rent of residences</t>
  </si>
  <si>
    <t xml:space="preserve">Medical care services</t>
  </si>
  <si>
    <t xml:space="preserve">Physicians' services</t>
  </si>
  <si>
    <t xml:space="preserve">Hospital services</t>
  </si>
  <si>
    <t xml:space="preserve">Transportation services</t>
  </si>
  <si>
    <t xml:space="preserve">Motor vehicle maintenance and repair</t>
  </si>
  <si>
    <t xml:space="preserve">Motor vehicle insurance</t>
  </si>
  <si>
    <t xml:space="preserve">Airline fares</t>
  </si>
  <si>
    <t xml:space="preserve">Notes: Tobacco Aug-2026 release is on a Dec 2024=100 base (rebased); Sept 2025 release index is on the old base — the two are not comparable, only the % changes are.</t>
  </si>
  <si>
    <t xml:space="preserve">'SA?' = whether BLS publishes a seasonally adjusted series for that category (NSA means SA column = NSA change).</t>
  </si>
  <si>
    <t xml:space="preserve">BLS 1-month standard error for all-items CPI-U: 0.04 (Aug 2026 release technical note). Table 7 (12-month) SE for all items: 0.09.</t>
  </si>
  <si>
    <t xml:space="preserve">September 2026 CPI Nowcast — bottom-up component model</t>
  </si>
  <si>
    <t xml:space="preserve">Blue = your inputs. Forecast NSA MoM is what you expect the raw index to do; the SA column is derived for comparison with bank forecasts. Change any blue cell and everything recalculates.</t>
  </si>
  <si>
    <t xml:space="preserve">Aug 2026 all-items index (NSA)</t>
  </si>
  <si>
    <t xml:space="preserve">Sep 2025 all-items index (NSA, YoY base)</t>
  </si>
  <si>
    <t xml:space="preserve">Aug 2026 core index (NSA)</t>
  </si>
  <si>
    <t xml:space="preserve">Sep 2025 core index (NSA)</t>
  </si>
  <si>
    <t xml:space="preserve">All-items NSA MoM Aug 2026 (for weight roll-forward)</t>
  </si>
  <si>
    <t xml:space="preserve">BLS sampling SE, 1-month all items (pp)</t>
  </si>
  <si>
    <t xml:space="preserve">Model residual SE — things the components miss (pp)</t>
  </si>
  <si>
    <t xml:space="preserve">Component</t>
  </si>
  <si>
    <t xml:space="preserve">NSA MoM Aug 2026</t>
  </si>
  <si>
    <t xml:space="preserve">Jul→Aug price relative</t>
  </si>
  <si>
    <t xml:space="preserve">Rel. imp. Aug 2026 (used)</t>
  </si>
  <si>
    <t xml:space="preserve">Forecast NSA MoM Sep (%)</t>
  </si>
  <si>
    <t xml:space="preserve">SE (pp)</t>
  </si>
  <si>
    <t xml:space="preserve">Sept SA−NSA gap (pp)</t>
  </si>
  <si>
    <t xml:space="preserve">Implied SA MoM (%)</t>
  </si>
  <si>
    <t xml:space="preserve">NSA contribution (pp)</t>
  </si>
  <si>
    <t xml:space="preserve">SA contribution (pp)</t>
  </si>
  <si>
    <t xml:space="preserve">Var contrib (w·se)²</t>
  </si>
  <si>
    <t xml:space="preserve">Rationale / data source</t>
  </si>
  <si>
    <t xml:space="preserve">F</t>
  </si>
  <si>
    <t xml:space="preserve">Aug was flat. Banks (Wells, DB) expect food to firm as transport costs pass through; SA ~+0.3. Sept 2025 seasonal gap −0.2.</t>
  </si>
  <si>
    <t xml:space="preserve">Very stable series: 0.2–0.3 every month in 2026. Not seasonally adjusted.</t>
  </si>
  <si>
    <t xml:space="preserve">E</t>
  </si>
  <si>
    <t xml:space="preserve">AAA Sept avg $4.33–4.36 vs Aug, +7.3% (stocktitan, Admiral Markets). XTech +7.4% NSA / +10% SA. DB +9.6% SA motor fuel. CPI sample timing can differ from weekly averages, hence SE 1.2. Official 2026 BLS factor: Aug 104.221 / Sep 101.759 → SA−NSA gap +2.42. EIA weekly avg Sept +7.31% vs Aug; EIA tracks CPI gasoline NSA within ~0.7pp (Sep25: 1.06 vs 1.15; Aug26: 3.2 vs 2.5).</t>
  </si>
  <si>
    <t xml:space="preserve">Other motor fuel (diesel etc.)</t>
  </si>
  <si>
    <t xml:space="preserve">Residual of motor fuel less gasoline (0.112). Tracks diesel; moves with gasoline.</t>
  </si>
  <si>
    <t xml:space="preserve">Fuel oil &amp; other fuels</t>
  </si>
  <si>
    <t xml:space="preserve">Fuel oil 0.107 + propane/kerosene/firewood 0.055 (Table 7). Fuel oil +7.8% NSA in Aug; distillate still rising.</t>
  </si>
  <si>
    <t xml:space="preserve">Sept NSA typically −0.5 to −0.6 as summer rates roll off (Sept 2025: −0.6 NSA, −0.5 SA).</t>
  </si>
  <si>
    <t xml:space="preserve">Sept 2025: −1.4 NSA / −1.2 SA. Aug 2026 −1.1 SA.</t>
  </si>
  <si>
    <t xml:space="preserve">G</t>
  </si>
  <si>
    <t xml:space="preserve">Biggest seasonal in the basket: fall lines arrive in Sept. Official 2026 factors: women's apparel gap −2.65, men's −1.76, footwear −1.11 → weighted ≈ −2.1. Forecast SA 0.0.</t>
  </si>
  <si>
    <t xml:space="preserve">Model-year changeover; SA +0.2–0.3 recent. Sept 2025 NSA 0.0 / SA +0.2.</t>
  </si>
  <si>
    <t xml:space="preserve">Manheim −1.1% in Sept to 205.9; wholesale leads CPI by ~2 months and has fallen 3 straight months (XTech, Admiral). Forecast SA −0.5. Sept 2025 gap +0.6.</t>
  </si>
  <si>
    <t xml:space="preserve">Down 6 of last 7 months. NSA series.</t>
  </si>
  <si>
    <t xml:space="preserve">Stable. NSA series.</t>
  </si>
  <si>
    <t xml:space="preserve">Trend +0.5/mo. NSA series.</t>
  </si>
  <si>
    <t xml:space="preserve">S</t>
  </si>
  <si>
    <t xml:space="preserve">SA 0.2–0.3 range all year (Aug 0.2, Jul 0.3). Forecast SA 0.3. Sept 2025 gap −0.1. Rent is a 6-month panel so it moves slowly.</t>
  </si>
  <si>
    <t xml:space="preserve">Owners' equivalent rent</t>
  </si>
  <si>
    <t xml:space="preserve">25.9% of the index — the single most important cell. SA 0.2 Aug, 0.3 Jul; Sept 2025 printed 0.1 SA (lowest since 2021). Forecast SA 0.3.</t>
  </si>
  <si>
    <t xml:space="preserve">Other shelter (lodging away, tenants' ins.)</t>
  </si>
  <si>
    <t xml:space="preserve">Official factor for hotels/motels: Aug 103.515 / Sep 100.579 → gap +2.92. Lodging +2.4 Aug after −2.8 Jul. Forecast SA +0.6. Residual weight 1.690.</t>
  </si>
  <si>
    <t xml:space="preserve">−0.2 Aug after +0.6 Jul; dental fell. Forecast SA +0.2.</t>
  </si>
  <si>
    <t xml:space="preserve">Falling: −2.0 Jun, −0.3 Jul, −0.8 Aug. XTech: softer insurance. Forecast −0.5.</t>
  </si>
  <si>
    <t xml:space="preserve">Main upside risk per Admiral/XTech: jet fuel high. +2.7 Aug, +2.2 Jul. Noisy series (SE 2.5). Forecast SA +1.5.</t>
  </si>
  <si>
    <t xml:space="preserve">Motor vehicle maintenance &amp; repair</t>
  </si>
  <si>
    <t xml:space="preserve">+1.1 Aug, +0.6 Jul. NSA series. Forecast +0.4.</t>
  </si>
  <si>
    <t xml:space="preserve">Other transportation services (residual)</t>
  </si>
  <si>
    <t xml:space="preserve">Parking, tolls, vehicle fees, public transit, car rental. Residual weight 1.643.</t>
  </si>
  <si>
    <t xml:space="preserve">Household furnishings &amp; operations</t>
  </si>
  <si>
    <t xml:space="preserve">BLS Table 3 aggregate (Jul-26 weight 4.245). Last-4 SA: −0.6, 0.2, 0.1, 0.1. Sept gap from furnishings/moving factors −0.18. Backtest: this category was in the unmodeled residual before v4.</t>
  </si>
  <si>
    <t xml:space="preserve">Recreation</t>
  </si>
  <si>
    <t xml:space="preserve">Table 3 aggregate. Last-4 SA: 0.3, 0.5, 0.2, 0.0. Gap −0.08 from toys/pets/cable/club/TV factors.</t>
  </si>
  <si>
    <t xml:space="preserve">Education</t>
  </si>
  <si>
    <t xml:space="preserve">Tuition month: Sept NSA is seasonally strong (gap −0.63 from tuition/childcare factor). Last-4 SA 0.0, 0.1, 0.5, 0.8 → trend 0.35 + 0.63 = 0.98 NSA.</t>
  </si>
  <si>
    <t xml:space="preserve">Communication</t>
  </si>
  <si>
    <t xml:space="preserve">Aug +2.33 NSA was a wireless-plan price jump. 4-mo trend says +0.28; DB and Wells expect partial reversal. Judgment: 0.0 (SE 0.6 because this series swings).</t>
  </si>
  <si>
    <t xml:space="preserve">Other goods and services (personal care etc.)</t>
  </si>
  <si>
    <t xml:space="preserve">Table 3 aggregate. Last-4 SA 1.0, 0.1, 0.1, 0.2. Personal care factor gap ≈ 0.</t>
  </si>
  <si>
    <t xml:space="preserve">Unmodeled remainder (water/sewer, tenants ins., misc.)</t>
  </si>
  <si>
    <t xml:space="preserve">What is left of core after every modeled line: water/sewer/trash, tenants' insurance, misc. Should be ~5–6 points of weight. Trend core, no seasonal.</t>
  </si>
  <si>
    <t xml:space="preserve">Check: weights sum (Jul / Aug-rolled)</t>
  </si>
  <si>
    <t xml:space="preserve">HEADLINE (all items)</t>
  </si>
  <si>
    <t xml:space="preserve">Forecast NSA MoM, Sept 2026 (%)</t>
  </si>
  <si>
    <t xml:space="preserve">Forecast SA MoM, Sept 2026 (%)  ← compare to consensus +0.6</t>
  </si>
  <si>
    <t xml:space="preserve">Implied Sept 2026 index (NSA)</t>
  </si>
  <si>
    <t xml:space="preserve">Unrounded YoY (%)</t>
  </si>
  <si>
    <t xml:space="preserve">Rounded YoY (what Kalshi settles on)</t>
  </si>
  <si>
    <t xml:space="preserve">Distance to nearest rounding edge (pp of YoY)</t>
  </si>
  <si>
    <t xml:space="preserve">Component SD of NSA MoM (pp)</t>
  </si>
  <si>
    <t xml:space="preserve">Total SD of NSA MoM (pp) incl. sampling + residual</t>
  </si>
  <si>
    <t xml:space="preserve">Total SD in YoY terms (pp)</t>
  </si>
  <si>
    <t xml:space="preserve">Prob. the print lands in the model's rounded bracket</t>
  </si>
  <si>
    <t xml:space="preserve">CORE (all items less food and energy)</t>
  </si>
  <si>
    <t xml:space="preserve">Core weight used (rolled)</t>
  </si>
  <si>
    <t xml:space="preserve">Forecast core NSA MoM (%)</t>
  </si>
  <si>
    <t xml:space="preserve">Forecast core SA MoM (%)  ← compare to consensus +0.2</t>
  </si>
  <si>
    <t xml:space="preserve">Implied core index Sept 2026</t>
  </si>
  <si>
    <t xml:space="preserve">Core unrounded YoY (%)</t>
  </si>
  <si>
    <t xml:space="preserve">Core rounded YoY</t>
  </si>
  <si>
    <t xml:space="preserve">Core SD of NSA MoM (pp)</t>
  </si>
  <si>
    <t xml:space="preserve">ENERGY and FOOD sub-aggregates (SA MoM, for sanity vs. bank previews)</t>
  </si>
  <si>
    <t xml:space="preserve">Energy SA MoM (%)</t>
  </si>
  <si>
    <t xml:space="preserve">Food SA MoM (%)</t>
  </si>
  <si>
    <t xml:space="preserve">Shelter SA MoM (%)</t>
  </si>
  <si>
    <t xml:space="preserve">Kalshi CPI markets scanned Oct 14 2026 ~10:00 ET — every contract where the model's edge after fees ≥ 5 points</t>
  </si>
  <si>
    <t xml:space="preserve">Edge = model probability − price you pay − ~1.75¢ fee. Model centers: Oct headline SA +0.17, Oct core SA +0.20, Nov YoY 3.99, Dec YoY 3.95, Nov core YoY 2.82, Dec core YoY 2.77, Dec grocery YoY 2.24. Prices are a snapshot; re-quote before trading. Not financial advice.</t>
  </si>
  <si>
    <t xml:space="preserve">Market</t>
  </si>
  <si>
    <t xml:space="preserve">Contract ticker</t>
  </si>
  <si>
    <t xml:space="preserve">Strike</t>
  </si>
  <si>
    <t xml:space="preserve">Side</t>
  </si>
  <si>
    <t xml:space="preserve">Pay ($)</t>
  </si>
  <si>
    <t xml:space="preserve">Model P</t>
  </si>
  <si>
    <t xml:space="preserve">Edge</t>
  </si>
  <si>
    <t xml:space="preserve">Model μ</t>
  </si>
  <si>
    <t xml:space="preserve">SD</t>
  </si>
  <si>
    <t xml:space="preserve">Confidence / main risk</t>
  </si>
  <si>
    <t xml:space="preserve">OI</t>
  </si>
  <si>
    <t xml:space="preserve">Closes</t>
  </si>
  <si>
    <t xml:space="preserve">Note</t>
  </si>
  <si>
    <t xml:space="preserve">Dec food-at-home YoY</t>
  </si>
  <si>
    <t xml:space="preserve">KXGROCERYCPI-27JAN13-T3.0</t>
  </si>
  <si>
    <t xml:space="preserve">Above 3.0%</t>
  </si>
  <si>
    <t xml:space="preserve">NO</t>
  </si>
  <si>
    <t xml:space="preserve">C — thin book, wide spread, food is noisy</t>
  </si>
  <si>
    <t xml:space="preserve">2027-01-13</t>
  </si>
  <si>
    <t xml:space="preserve">As above. 3.0+ needs +0.5/mo; very unlikely absent a food shock.</t>
  </si>
  <si>
    <t xml:space="preserve">KXGROCERYCPI-27JAN13-T2.5</t>
  </si>
  <si>
    <t xml:space="preserve">Above 2.5%</t>
  </si>
  <si>
    <t xml:space="preserve">Food at home YoY just printed 1.8 and the 6-mo SA trend is ~0. Reaching 2.5+ by Dec needs +0.3/mo for three months. Book is thin (OI 1.2k) and spread is 9¢ wide; work the bid.</t>
  </si>
  <si>
    <t xml:space="preserve">KXGROCERYCPI-27JAN13-T3.5</t>
  </si>
  <si>
    <t xml:space="preserve">Above 3.5%</t>
  </si>
  <si>
    <t xml:space="preserve">Nov headline YoY</t>
  </si>
  <si>
    <t xml:space="preserve">KXCPIYOY-26NOV-T3.7</t>
  </si>
  <si>
    <t xml:space="preserve">Above 3.7%</t>
  </si>
  <si>
    <t xml:space="preserve">YES</t>
  </si>
  <si>
    <t xml:space="preserve">B — structural base effect; gasoline Oct–Nov is the risk</t>
  </si>
  <si>
    <t xml:space="preserve">2026-12-10</t>
  </si>
  <si>
    <t xml:space="preserve">Structural: Nov-2025 base (324.122) sits BELOW Sept-2025 (324.800) because of the shutdown/Black-Friday collection. A flat index Sept→Nov already gives 3.95%. Market center ~3.85 needs the index to FALL ~0.1% in two months.</t>
  </si>
  <si>
    <t xml:space="preserve">Dec headline YoY</t>
  </si>
  <si>
    <t xml:space="preserve">KXCPIYOY-26DEC-T3.8</t>
  </si>
  <si>
    <t xml:space="preserve">Above 3.8%</t>
  </si>
  <si>
    <t xml:space="preserve">C — three months of gasoline unknown</t>
  </si>
  <si>
    <t xml:space="preserve">Three months of gasoline unknown (SD 0.27). Smaller size than the Nov equivalents.</t>
  </si>
  <si>
    <t xml:space="preserve">KXCPIYOY-26NOV-T3.6</t>
  </si>
  <si>
    <t xml:space="preserve">Above 3.6%</t>
  </si>
  <si>
    <t xml:space="preserve">Same base-effect logic. Needs Oct+Nov NSA to be worse than −0.3% combined to lose; that would take gasoline −8% or so.</t>
  </si>
  <si>
    <t xml:space="preserve">KXCPIYOY-26DEC-T3.7</t>
  </si>
  <si>
    <t xml:space="preserve">KXCPIYOY-26DEC-T3.6</t>
  </si>
  <si>
    <t xml:space="preserve">KXCPIYOY-26NOV-T4.0</t>
  </si>
  <si>
    <t xml:space="preserve">Above 4.0%</t>
  </si>
  <si>
    <t xml:space="preserve">Dec core YoY</t>
  </si>
  <si>
    <t xml:space="preserve">KXCPICOREYOY-26DEC-T2.9</t>
  </si>
  <si>
    <t xml:space="preserve">Above 2.9%</t>
  </si>
  <si>
    <t xml:space="preserve">C</t>
  </si>
  <si>
    <t xml:space="preserve">Nov core YoY</t>
  </si>
  <si>
    <t xml:space="preserve">KXCPICOREYOY-26NOV-T2.5</t>
  </si>
  <si>
    <t xml:space="preserve">B</t>
  </si>
  <si>
    <t xml:space="preserve">Oct core SA MoM</t>
  </si>
  <si>
    <t xml:space="preserve">KXCPICORE-26OCT-T0.2</t>
  </si>
  <si>
    <t xml:space="preserve">Above 0.2%</t>
  </si>
  <si>
    <t xml:space="preserve">A — hinges on 4-mo (0.2) vs 2-mo (0.3) core trend</t>
  </si>
  <si>
    <t xml:space="preserve">2026-11-10</t>
  </si>
  <si>
    <t xml:space="preserve">Model core 0.20 uses 4-mo trend (0.0,0.2,0.3,0.3). If you believe the last two months (0.3) the edge disappears. Sept printed 0.3.</t>
  </si>
  <si>
    <t xml:space="preserve">KXCPIYOY-26NOV-T3.8</t>
  </si>
  <si>
    <t xml:space="preserve">Largest OI in the series (52k) — this is where the big players sit. Same base effect; thinner margin.</t>
  </si>
  <si>
    <t xml:space="preserve">KXCPICOREYOY-26DEC-T2.5</t>
  </si>
  <si>
    <t xml:space="preserve">KXCPIYOY-26DEC-T3.4</t>
  </si>
  <si>
    <t xml:space="preserve">Above 3.4%</t>
  </si>
  <si>
    <t xml:space="preserve">Oct headline SA MoM</t>
  </si>
  <si>
    <t xml:space="preserve">KXCPI-26OCT-T0.1</t>
  </si>
  <si>
    <t xml:space="preserve">Above 0.1%</t>
  </si>
  <si>
    <t xml:space="preserve">A — one month out, EIA gasoline in hand</t>
  </si>
  <si>
    <t xml:space="preserve">Gasoline Oct-to-date −0.3% NSA = +1.5% SA after the Oct seasonal. Headline SA gap estimated from Oct 2024 only (+0.09). Medium confidence.</t>
  </si>
  <si>
    <t xml:space="preserve">KXCPICOREYOY-26DEC-T2.8</t>
  </si>
  <si>
    <t xml:space="preserve">Above 2.8%</t>
  </si>
  <si>
    <t xml:space="preserve">KXCPICORE-26OCT-T0.3</t>
  </si>
  <si>
    <t xml:space="preserve">Above 0.3%</t>
  </si>
  <si>
    <t xml:space="preserve">KXCPIYOY-26DEC-T3.5</t>
  </si>
  <si>
    <t xml:space="preserve">KXCPIYOY-26NOV-T3.9</t>
  </si>
  <si>
    <t xml:space="preserve">Above 3.9%</t>
  </si>
  <si>
    <t xml:space="preserve">KXCPICOREYOY-26DEC-T2.4</t>
  </si>
  <si>
    <t xml:space="preserve">Above 2.4%</t>
  </si>
  <si>
    <t xml:space="preserve">KXCPIYOY-26NOV-T3.5</t>
  </si>
  <si>
    <t xml:space="preserve">KXCPICOREYOY-26NOV-T2.6</t>
  </si>
  <si>
    <t xml:space="preserve">Above 2.6%</t>
  </si>
  <si>
    <t xml:space="preserve">KXCPIYOY-26DEC-T4.0</t>
  </si>
  <si>
    <t xml:space="preserve">KXCPIYOY-26DEC-T3.2</t>
  </si>
  <si>
    <t xml:space="preserve">Above 3.2%</t>
  </si>
  <si>
    <t xml:space="preserve">KXCPIYOY-26DEC-T3.3</t>
  </si>
  <si>
    <t xml:space="preserve">Above 3.3%</t>
  </si>
  <si>
    <t xml:space="preserve">KXCPICOREYOY-26DEC-T3.0</t>
  </si>
  <si>
    <t xml:space="preserve">KXCPIYOY-26DEC-T3.9</t>
  </si>
  <si>
    <t xml:space="preserve">KXCPICORE-26OCT-T0.6</t>
  </si>
  <si>
    <t xml:space="preserve">Above 0.6%</t>
  </si>
  <si>
    <t xml:space="preserve">KXCPICORE-26OCT-T0.5</t>
  </si>
  <si>
    <t xml:space="preserve">Above 0.5%</t>
  </si>
  <si>
    <t xml:space="preserve">KXCPICOREYOY-26NOV-T2.4</t>
  </si>
  <si>
    <t xml:space="preserve">KXCPICOREYOY-26DEC-T2.7</t>
  </si>
  <si>
    <t xml:space="preserve">Above 2.7%</t>
  </si>
  <si>
    <t xml:space="preserve">KXCPICOREYOY-26DEC-T3.2</t>
  </si>
  <si>
    <t xml:space="preserve">KXCPICOREYOY-26NOV-T2.8</t>
  </si>
  <si>
    <t xml:space="preserve">KXCPIYOY-26DEC-T3.1</t>
  </si>
  <si>
    <t xml:space="preserve">Above 3.1%</t>
  </si>
  <si>
    <t xml:space="preserve">Confidence A = next print, inputs in hand. B = two prints out, one structural driver. C = three months out or a thin/noisy market; halve the size.</t>
  </si>
  <si>
    <t xml:space="preserve">Don't stack correlated bets: every Nov/Dec YoY contract is the same gasoline bet. Pick one or two strikes per event, not the ladder.</t>
  </si>
  <si>
    <t xml:space="preserve">The model's bias ran +0.02 hot in backtest and the Sept miss was −0.08 (too cool). Treat μ as ±0.05 fuzzy before you even get to the SD.</t>
  </si>
  <si>
    <t xml:space="preserve"/>
  </si>
  <si>
    <t xml:space="preserve">Re-run after every Monday EIA print; the Nov/Dec YoY edges can evaporate in a week if pump prices fall 3%.</t>
  </si>
  <si>
    <t xml:space="preserve">A print that goes against you on Oct 14's core (0.3) already moved KXCPICORE-26OCT: that's why 'Above 0.2' is 46/47 instead of 30. The market reacts faster than the model's 4-mo trend; that cuts both ways.</t>
  </si>
  <si>
    <t xml:space="preserve">Out-of-sample backtest — 69 prints, Nov 2020 – Sep 2026 (Oct 2025 unpublished)</t>
  </si>
  <si>
    <t xml:space="preserve">Each row uses only data published before that release: first-published SA changes (not later revisions), carried-forward weights, official 2026 seasonal factors, EIA weekly gasoline for the target month. Trend window = 4 months. No judgment overrides. SA model = NSA model + realized all-items SA−NSA gap.</t>
  </si>
  <si>
    <t xml:space="preserve">Ref. month</t>
  </si>
  <si>
    <t xml:space="preserve">Actual NSA</t>
  </si>
  <si>
    <t xml:space="preserve">Model NSA</t>
  </si>
  <si>
    <t xml:space="preserve">Error</t>
  </si>
  <si>
    <t xml:space="preserve">Actual YoY</t>
  </si>
  <si>
    <t xml:space="preserve">Model YoY</t>
  </si>
  <si>
    <t xml:space="preserve">Rounded YoY err</t>
  </si>
  <si>
    <t xml:space="preserve">Actual SA</t>
  </si>
  <si>
    <t xml:space="preserve">Model SA</t>
  </si>
  <si>
    <t xml:space="preserve">|SA err| rounded</t>
  </si>
  <si>
    <t xml:space="preserve">Cum |SA err|</t>
  </si>
  <si>
    <t xml:space="preserve">Period</t>
  </si>
  <si>
    <t xml:space="preserve">2020-11</t>
  </si>
  <si>
    <t xml:space="preserve">2021 reopening</t>
  </si>
  <si>
    <t xml:space="preserve">2020-12</t>
  </si>
  <si>
    <t xml:space="preserve">2021-01</t>
  </si>
  <si>
    <t xml:space="preserve">2021-02</t>
  </si>
  <si>
    <t xml:space="preserve">2021-03</t>
  </si>
  <si>
    <t xml:space="preserve">2021-04</t>
  </si>
  <si>
    <t xml:space="preserve">2021-05</t>
  </si>
  <si>
    <t xml:space="preserve">2021-06</t>
  </si>
  <si>
    <t xml:space="preserve">2021-07</t>
  </si>
  <si>
    <t xml:space="preserve">2021-08</t>
  </si>
  <si>
    <t xml:space="preserve">2021-09</t>
  </si>
  <si>
    <t xml:space="preserve">2021-10</t>
  </si>
  <si>
    <t xml:space="preserve">2021-11</t>
  </si>
  <si>
    <t xml:space="preserve">2021-12</t>
  </si>
  <si>
    <t xml:space="preserve">2022-01</t>
  </si>
  <si>
    <t xml:space="preserve">2022 energy peak</t>
  </si>
  <si>
    <t xml:space="preserve">2022-02</t>
  </si>
  <si>
    <t xml:space="preserve">2022-03</t>
  </si>
  <si>
    <t xml:space="preserve">2022-04</t>
  </si>
  <si>
    <t xml:space="preserve">2022-05</t>
  </si>
  <si>
    <t xml:space="preserve">2022-06</t>
  </si>
  <si>
    <t xml:space="preserve">2022-07</t>
  </si>
  <si>
    <t xml:space="preserve">2022-08</t>
  </si>
  <si>
    <t xml:space="preserve">2022-09</t>
  </si>
  <si>
    <t xml:space="preserve">2022-10</t>
  </si>
  <si>
    <t xml:space="preserve">2022-11</t>
  </si>
  <si>
    <t xml:space="preserve">2022-12</t>
  </si>
  <si>
    <t xml:space="preserve">2023-01</t>
  </si>
  <si>
    <t xml:space="preserve">2023 disinflation</t>
  </si>
  <si>
    <t xml:space="preserve">2023-02</t>
  </si>
  <si>
    <t xml:space="preserve">2023-03</t>
  </si>
  <si>
    <t xml:space="preserve">2023-04</t>
  </si>
  <si>
    <t xml:space="preserve">2023-05</t>
  </si>
  <si>
    <t xml:space="preserve">2023-06</t>
  </si>
  <si>
    <t xml:space="preserve">2023-07</t>
  </si>
  <si>
    <t xml:space="preserve">2023-08</t>
  </si>
  <si>
    <t xml:space="preserve">2023-09</t>
  </si>
  <si>
    <t xml:space="preserve">2023-10</t>
  </si>
  <si>
    <t xml:space="preserve">2023-11</t>
  </si>
  <si>
    <t xml:space="preserve">2023-12</t>
  </si>
  <si>
    <t xml:space="preserve">2024-01</t>
  </si>
  <si>
    <t xml:space="preserve">2024 calm</t>
  </si>
  <si>
    <t xml:space="preserve">2024-02</t>
  </si>
  <si>
    <t xml:space="preserve">2024-03</t>
  </si>
  <si>
    <t xml:space="preserve">2024-04</t>
  </si>
  <si>
    <t xml:space="preserve">2024-05</t>
  </si>
  <si>
    <t xml:space="preserve">2024-06</t>
  </si>
  <si>
    <t xml:space="preserve">2024-07</t>
  </si>
  <si>
    <t xml:space="preserve">2024-08</t>
  </si>
  <si>
    <t xml:space="preserve">2024-09</t>
  </si>
  <si>
    <t xml:space="preserve">2024-10</t>
  </si>
  <si>
    <t xml:space="preserve">2024-11</t>
  </si>
  <si>
    <t xml:space="preserve">2024-12</t>
  </si>
  <si>
    <t xml:space="preserve">2025-01</t>
  </si>
  <si>
    <t xml:space="preserve">2025-26 tariff/energy</t>
  </si>
  <si>
    <t xml:space="preserve">2025-02</t>
  </si>
  <si>
    <t xml:space="preserve">2025-03</t>
  </si>
  <si>
    <t xml:space="preserve">2025-04</t>
  </si>
  <si>
    <t xml:space="preserve">2025-05</t>
  </si>
  <si>
    <t xml:space="preserve">2025-06</t>
  </si>
  <si>
    <t xml:space="preserve">2025-07</t>
  </si>
  <si>
    <t xml:space="preserve">2025-08</t>
  </si>
  <si>
    <t xml:space="preserve">2025-09</t>
  </si>
  <si>
    <t xml:space="preserve">2025-12</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</si>
  <si>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</si>
  <si>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</si>
  <si>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</si>
  <si>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</si>
  <si>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</si>
  <si>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</si>
  <si>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</si>
  <si>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</si>
  <si>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</si>
  <si>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SUMMARY — full sample</t>
  </si>
  <si>
    <t xml:space="preserve">NSA MoM mean |error| (pp)</t>
  </si>
  <si>
    <t xml:space="preserve">NSA MoM RMSE (pp)</t>
  </si>
  <si>
    <t xml:space="preserve">NSA MoM bias (pp)</t>
  </si>
  <si>
    <t xml:space="preserve">YoY bracket exact-hit rate</t>
  </si>
  <si>
    <t xml:space="preserve">YoY within one bracket (±0.1)</t>
  </si>
  <si>
    <t xml:space="preserve">SA MoM exact-hit rate (rounded)</t>
  </si>
  <si>
    <t xml:space="preserve">SA |error| per print (Bloomberg criterion)</t>
  </si>
  <si>
    <t xml:space="preserve">SA cumulative |error|, last 18 prints</t>
  </si>
  <si>
    <t xml:space="preserve">SA cumulative |error|, last 12 prints</t>
  </si>
  <si>
    <t xml:space="preserve">BY PERIOD</t>
  </si>
  <si>
    <t xml:space="preserve">n</t>
  </si>
  <si>
    <t xml:space="preserve">MAE NSA</t>
  </si>
  <si>
    <t xml:space="preserve">YoY exact</t>
  </si>
  <si>
    <t xml:space="preserve">YoY ±0.1</t>
  </si>
  <si>
    <t xml:space="preserve">SA exact</t>
  </si>
  <si>
    <t xml:space="preserve">|SA err|/print</t>
  </si>
  <si>
    <t xml:space="preserve">READ THIS: the 20-print backtest (v4, MAE 0.078, YoY hit 43%) flattered the model. On 69 prints the mechanical model is MAE 0.111, YoY exact 33%, within-one-bracket 78%. It is a floor, not an edge.</t>
  </si>
  <si>
    <t xml:space="preserve">Trend window: 2–6 months all score within 0.01 of each other; the 'trend=4 is best' result on 20 prints was noise. 12 months is clearly worse.</t>
  </si>
  <si>
    <t xml:space="preserve">Gasoline via EIA is the backbone in every regime: removing it doubles MAE to 0.21. Modeling the residual categories helps modestly (0.121 → 0.111).</t>
  </si>
  <si>
    <t xml:space="preserve">Regime matters more than any modeling choice. 2023: 67% exact, 100% within one bracket. 2021 reopening: 0% exact, 38% within one — used cars, airfares and lodging swung 5–10% a month and no trend catches that.</t>
  </si>
  <si>
    <t xml:space="preserve">Bias is ~0 over the full sample. The +0.02 hot bias seen on 20 prints was a 2025–26 artifact.</t>
  </si>
  <si>
    <t xml:space="preserve">Naive benchmark (last month's NSA change repeats): MAE 0.273. The model is 2.5x better than naive, roughly equal to a decent bank desk, and below Golden in the months when it matters most.</t>
  </si>
  <si>
    <t xml:space="preserve">Caveat on seasonal factors: 2026 factors used throughout (older yearly files not pulled). Slight look-ahead for 2021–2024 rows; BLS factors move little year to year, so the effect is small but nonzero.</t>
  </si>
  <si>
    <t xml:space="preserve">Kalshi KXCPIYOY-26SEP — model probability vs market price</t>
  </si>
  <si>
    <t xml:space="preserve">Kalshi contracts are 'Above X%' (strictly greater than the one-decimal BLS figure). Prices pulled from api.elections.kalshi.com on Oct 13 2026 ~12:30 ET. Blue = update with live quotes before trading.</t>
  </si>
  <si>
    <t xml:space="preserve">Model unrounded YoY (%)</t>
  </si>
  <si>
    <t xml:space="preserve">Model SD, YoY (pp)</t>
  </si>
  <si>
    <t xml:space="preserve">SD override (leave blank to use model)</t>
  </si>
  <si>
    <t xml:space="preserve">SD in use</t>
  </si>
  <si>
    <t xml:space="preserve">Kalshi taker fee per contract (approx, $)</t>
  </si>
  <si>
    <t xml:space="preserve">Contract</t>
  </si>
  <si>
    <t xml:space="preserve">Strike X</t>
  </si>
  <si>
    <t xml:space="preserve">Settles YES if print ≥</t>
  </si>
  <si>
    <t xml:space="preserve">NSA MoM needed (%)</t>
  </si>
  <si>
    <t xml:space="preserve">Model P(YES)</t>
  </si>
  <si>
    <t xml:space="preserve">Kalshi YES bid</t>
  </si>
  <si>
    <t xml:space="preserve">Kalshi YES ask</t>
  </si>
  <si>
    <t xml:space="preserve">Edge: model − ask (buy YES)</t>
  </si>
  <si>
    <t xml:space="preserve">Edge: (1−model) − (1−bid) (buy NO)</t>
  </si>
  <si>
    <t xml:space="preserve">KXCPIYOY-26SEP-T3.3</t>
  </si>
  <si>
    <t xml:space="preserve">KXCPIYOY-26SEP-T3.4</t>
  </si>
  <si>
    <t xml:space="preserve">KXCPIYOY-26SEP-T3.5</t>
  </si>
  <si>
    <t xml:space="preserve">KXCPIYOY-26SEP-T3.6</t>
  </si>
  <si>
    <t xml:space="preserve">The 3.6 line is the coin-flip: market 51–52¢.</t>
  </si>
  <si>
    <t xml:space="preserve">KXCPIYOY-26SEP-T3.7</t>
  </si>
  <si>
    <t xml:space="preserve">Golden's 3.66 sits in the 3.7 bucket; a large player is reportedly on the other side.</t>
  </si>
  <si>
    <t xml:space="preserve">KXCPIYOY-26SEP-T3.8</t>
  </si>
  <si>
    <t xml:space="preserve">KXCPIYOY-26SEP-T3.9</t>
  </si>
  <si>
    <t xml:space="preserve">Rounded print</t>
  </si>
  <si>
    <t xml:space="preserve">Unrounded range</t>
  </si>
  <si>
    <t xml:space="preserve">NSA MoM range (%)</t>
  </si>
  <si>
    <t xml:space="preserve">Model P(bucket)</t>
  </si>
  <si>
    <t xml:space="preserve">Market-implied P (mid)</t>
  </si>
  <si>
    <t xml:space="preserve">Edge (model − market)</t>
  </si>
  <si>
    <t xml:space="preserve">≤3.4</t>
  </si>
  <si>
    <t xml:space="preserve">&lt; 3.45</t>
  </si>
  <si>
    <t xml:space="preserve">Positive edge = model thinks the bucket is more likely than the market does.</t>
  </si>
  <si>
    <t xml:space="preserve">3.5</t>
  </si>
  <si>
    <t xml:space="preserve">3.45 to 3.55</t>
  </si>
  <si>
    <t xml:space="preserve">The model's tails come straight from the SD assumption. Before acting on a tail edge, stress B6 (e.g., 0.08 and 0.15) and see if it survives.</t>
  </si>
  <si>
    <t xml:space="preserve">3.6</t>
  </si>
  <si>
    <t xml:space="preserve">3.55 to 3.65</t>
  </si>
  <si>
    <t xml:space="preserve">Golden's method: he buys the tail bucket when his model says it's underpriced, not the modal bucket.</t>
  </si>
  <si>
    <t xml:space="preserve">3.7</t>
  </si>
  <si>
    <t xml:space="preserve">3.65 to 3.75</t>
  </si>
  <si>
    <t xml:space="preserve">3.8</t>
  </si>
  <si>
    <t xml:space="preserve">3.75 to 3.85</t>
  </si>
  <si>
    <t xml:space="preserve">≥3.9</t>
  </si>
  <si>
    <t xml:space="preserve">≥ 3.85</t>
  </si>
  <si>
    <t xml:space="preserve">Sum (check = 100%)</t>
  </si>
  <si>
    <t xml:space="preserve">Where everyone sits — published Sept 2026 forecasts, converted to one scale</t>
  </si>
  <si>
    <t xml:space="preserve">Blue = as published. If a source gave only SA MoM, NSA MoM is derived with the model's SA−NSA gap (Nowcast). If only YoY was given, MoM is back-solved.</t>
  </si>
  <si>
    <t xml:space="preserve">Model SA−NSA gap for Sept (pp)</t>
  </si>
  <si>
    <t xml:space="preserve">Source</t>
  </si>
  <si>
    <t xml:space="preserve">SA MoM (%)</t>
  </si>
  <si>
    <t xml:space="preserve">YoY (%) as published</t>
  </si>
  <si>
    <t xml:space="preserve">Derived NSA MoM (%)</t>
  </si>
  <si>
    <t xml:space="preserve">Implied unrounded YoY (%)</t>
  </si>
  <si>
    <t xml:space="preserve">Rounded YoY</t>
  </si>
  <si>
    <t xml:space="preserve">Core SA MoM</t>
  </si>
  <si>
    <t xml:space="preserve">Note / link</t>
  </si>
  <si>
    <t xml:space="preserve">THIS MODEL</t>
  </si>
  <si>
    <t xml:space="preserve">Bottom-up (Nowcast tab)</t>
  </si>
  <si>
    <t xml:space="preserve">Brian Golden (Kalshi)</t>
  </si>
  <si>
    <t xml:space="preserve">Bloomberg, Oct 13 2026. 'Not a math guy'; spreadsheet replica of BLS method.</t>
  </si>
  <si>
    <t xml:space="preserve">Bloomberg consensus</t>
  </si>
  <si>
    <t xml:space="preserve">Bloomberg article; FactSet also 3.6. Kiplinger: +0.6 / 3.6; core +0.2 / 2.5</t>
  </si>
  <si>
    <t xml:space="preserve">Consensus (crypto.news/Truflation note)</t>
  </si>
  <si>
    <t xml:space="preserve">Shows the consensus itself straddles the 3.6/3.7 line</t>
  </si>
  <si>
    <t xml:space="preserve">Cleveland Fed nowcast (Oct 2)</t>
  </si>
  <si>
    <t xml:space="preserve">jorgai.com summary; core YoY 2.39</t>
  </si>
  <si>
    <t xml:space="preserve">Deutsche Bank</t>
  </si>
  <si>
    <t xml:space="preserve">FinancialJuice CPI prep Oct 12: SA motor fuel +9.6%</t>
  </si>
  <si>
    <t xml:space="preserve">Wells Fargo</t>
  </si>
  <si>
    <t xml:space="preserve">FinancialJuice / Kiplinger: 'We estimate the CPI rose 0.59%'</t>
  </si>
  <si>
    <t xml:space="preserve">Credit Agricole</t>
  </si>
  <si>
    <t xml:space="preserve">FinancialJuice</t>
  </si>
  <si>
    <t xml:space="preserve">Truflation (Oct 9)</t>
  </si>
  <si>
    <t xml:space="preserve">crypto.news; gasoline +4.8% in their data</t>
  </si>
  <si>
    <t xml:space="preserve">XTech / Exponential-Tech (Oct 5)</t>
  </si>
  <si>
    <t xml:space="preserve">Gasoline +10% SA / +7.4% NSA</t>
  </si>
  <si>
    <t xml:space="preserve">Kalshi market (mid)</t>
  </si>
  <si>
    <t xml:space="preserve">See Brackets: P(&gt;3.6) ≈ 51.5%, P(&gt;3.7) ≈ 10.5%</t>
  </si>
  <si>
    <t xml:space="preserve">Reading this table: a published YoY of 3.6 with SA MoM of 0.6 is internally inconsistent given the Sept 2025 base (0.6 SA ≈ 0.52 NSA ≈ 3.67 YoY). Several forecasters are quoting a rounded headline that their own MoM number doesn't support.</t>
  </si>
  <si>
    <t xml:space="preserve">Sources</t>
  </si>
  <si>
    <t xml:space="preserve">BLS CPI August 2026 release and Table 1: https://www.bls.gov/news.release/cpi.nr0.htm ; https://www.bls.gov/news.release/cpi.t01.htm</t>
  </si>
  <si>
    <t xml:space="preserve">BLS CPI September 2025 release (archived): https://www.bls.gov/news.release/archives/cpi_10242025.htm</t>
  </si>
  <si>
    <t xml:space="preserve">BLS Table 7 (12-month effects and standard errors): https://www.bls.gov/news.release/cpi.t07.htm</t>
  </si>
  <si>
    <t xml:space="preserve">BLS seasonal factors (official file, replace Nowcast col H when downloaded): https://www.bls.gov/web/cpi/cpi-seasonal-factors.xlsx</t>
  </si>
  <si>
    <t xml:space="preserve">BLS CPI Handbook of Methods: https://www.bls.gov/opub/hom/cpi/</t>
  </si>
  <si>
    <t xml:space="preserve">Kalshi market data API (prices as of Oct 13 2026): https://api.elections.kalshi.com/trade-api/v2/markets?event_ticker=KXCPIYOY-26SEP</t>
  </si>
  <si>
    <t xml:space="preserve">Bloomberg, 'Kalshi's Top Inflation Trader Beats Wall Street Banks From His Garage', Oct 13 2026: https://www.bloomberg.com/news/features/2026-10-13/kalshi-s-top-inflation-trader-beats-wall-street-banks-from-his-garage</t>
  </si>
  <si>
    <t xml:space="preserve">Federal Reserve FEDS 2026-010, 'Kalshi and the Rise of Macro Markets': https://www.federalreserve.gov/econres/feds/files/2026010pap.pdf</t>
  </si>
  <si>
    <t xml:space="preserve">FinancialJuice CPI prep (DB, Wells, Credit Agricole): https://features.financialjuice.com/2026/10/12/us-cpi-prep-14th-october/</t>
  </si>
  <si>
    <t xml:space="preserve">Kiplinger Sept CPI preview: https://www.kiplinger.com/investing/economy/cpi-report-september-2026-what-to-expect</t>
  </si>
  <si>
    <t xml:space="preserve">Admiral Markets previews (AAA gasoline, Manheim): https://admiralmarkets.com/analytics/traders-blog/us-cpi-preview-september-2026-forecasts-and-the-core-cpi-outlook ; https://admiralmarkets.com/analytics/traders-blog/us-cpi-september-2026-scenarios-fed-october</t>
  </si>
  <si>
    <t xml:space="preserve">Exponential-Tech Sept 2026 CPI forecast: https://www.exponential-tech.ai/post/september-2026-cpi-forecast</t>
  </si>
  <si>
    <t xml:space="preserve">Truflation forecast via crypto.news: https://crypto.news/us-cpi-to-rise-to-3-6-september-truflation-forecasts/</t>
  </si>
  <si>
    <t xml:space="preserve">Cleveland Fed nowcast via jorgai.com: https://jorgai.com/blog/september-2026-cpi-report-preview-october-14</t>
  </si>
  <si>
    <t xml:space="preserve">StockTitan (Sept gasoline avg $4.36, +7.3% m/m): https://stocktitan.net/articles/september-2026-cpi-inflation-report</t>
  </si>
  <si>
    <t xml:space="preserve">CNBC, Kalshi inflation pricing Oct 12 2026: https://www.cnbc.com/2026/10/12/inflation-will-remain-sticky-in-2026-according-to-prediction-markets.html</t>
  </si>
  <si>
    <t xml:space="preserve">Release history (YoY by month): https://therighttrader.com/economic-calendar/cpi</t>
  </si>
  <si>
    <t xml:space="preserve">Gasoline — EIA weekly U.S. regular retail price (all formulations, $/gal) → monthly average → CPI NSA MoM proxy</t>
  </si>
  <si>
    <t xml:space="preserve">Source: EIA series EMM_EPMR_PTE_NUS_DPG, week-ending Monday dates. Blue = data (append new weeks at the bottom). Monthly table on the right recalculates.</t>
  </si>
  <si>
    <t xml:space="preserve">Week ending</t>
  </si>
  <si>
    <t xml:space="preserve">$/gal</t>
  </si>
  <si>
    <t xml:space="preserve">Month</t>
  </si>
  <si>
    <t xml:space="preserve">EIA avg $/gal</t>
  </si>
  <si>
    <t xml:space="preserve">EIA MoM %</t>
  </si>
  <si>
    <t xml:space="preserve">CPI gasoline NSA MoM % (actual)</t>
  </si>
  <si>
    <t xml:space="preserve">EIA − CPI (pp)</t>
  </si>
  <si>
    <t xml:space="preserve">CPI actual = index-level NSA change from BLS Table 1 (Sep25: 285.595/282.358; Aug26: 359.738/350.846).</t>
  </si>
  <si>
    <t xml:space="preserve">EIA − CPI residual over the two verifiable months: −0.09 and +0.67 → SE ≈ 0.6pp used on Nowcast.</t>
  </si>
  <si>
    <t xml:space="preserve">2025-10</t>
  </si>
  <si>
    <t xml:space="preserve">BLS prices gasoline across the whole month; the EIA monthly average is the closest public proxy. Fill col G as each CPI prints to tighten the SE.</t>
  </si>
  <si>
    <t xml:space="preserve">2025-11</t>
  </si>
  <si>
    <t xml:space="preserve">← feeds Nowcast gasoline forecast (manually: see Nowcast F15)</t>
  </si>
  <si>
    <t xml:space="preserve">Official BLS 2026 seasonal factors used in the model (CPI-U, calculated with data through Dec 2025)</t>
  </si>
  <si>
    <t xml:space="preserve">Source: www.bls.gov/web/cpi/cpi-seasonal-factors.xlsx (downloaded Oct 13 2026). SA−NSA gap for Sept = (Aug factor / Sep factor − 1) × 100. Blue = as published.</t>
  </si>
  <si>
    <t xml:space="preserve">Series</t>
  </si>
  <si>
    <t xml:space="preserve">Aug factor</t>
  </si>
  <si>
    <t xml:space="preserve">Sep factor</t>
  </si>
  <si>
    <t xml:space="preserve">Sept gap (pp)</t>
  </si>
  <si>
    <t xml:space="preserve">Used for</t>
  </si>
  <si>
    <t xml:space="preserve">Gasoline</t>
  </si>
  <si>
    <t xml:space="preserve">Other motor fuel</t>
  </si>
  <si>
    <t xml:space="preserve">Fuel oil &amp; other fuels (with propane)</t>
  </si>
  <si>
    <t xml:space="preserve">Propane, kerosene, and firewood</t>
  </si>
  <si>
    <t xml:space="preserve">Utility gas</t>
  </si>
  <si>
    <t xml:space="preserve">Women's apparel</t>
  </si>
  <si>
    <t xml:space="preserve">Apparel (weighted avg ≈ −2.1)</t>
  </si>
  <si>
    <t xml:space="preserve">Men's and boys' apparel</t>
  </si>
  <si>
    <t xml:space="preserve">Footwear</t>
  </si>
  <si>
    <t xml:space="preserve">Girls' apparel</t>
  </si>
  <si>
    <t xml:space="preserve">Used cars</t>
  </si>
  <si>
    <t xml:space="preserve">Rent</t>
  </si>
  <si>
    <t xml:space="preserve">OER</t>
  </si>
  <si>
    <t xml:space="preserve">Other lodging away from home including hotels and motels</t>
  </si>
  <si>
    <t xml:space="preserve">Other shelter</t>
  </si>
  <si>
    <t xml:space="preserve">Public transportation</t>
  </si>
  <si>
    <t xml:space="preserve">Other transportation svcs</t>
  </si>
  <si>
    <t xml:space="preserve">Car and truck rental</t>
  </si>
  <si>
    <t xml:space="preserve">Household furnishings and supplies</t>
  </si>
  <si>
    <t xml:space="preserve">Other core goods</t>
  </si>
  <si>
    <t xml:space="preserve">Personal care products</t>
  </si>
  <si>
    <t xml:space="preserve">Tuition, other school fees, and childcare</t>
  </si>
  <si>
    <t xml:space="preserve">Other core services</t>
  </si>
  <si>
    <t xml:space="preserve">Day care and preschool</t>
  </si>
  <si>
    <t xml:space="preserve">Cable, satellite, and live streaming television service</t>
  </si>
  <si>
    <t xml:space="preserve">Durables</t>
  </si>
  <si>
    <t xml:space="preserve">cross-check</t>
  </si>
  <si>
    <t xml:space="preserve">Nondurables less food, beverages, and apparel</t>
  </si>
  <si>
    <t xml:space="preserve">Rent of shelter</t>
  </si>
  <si>
    <t xml:space="preserve">Series with no published factor (Food at home, Food away, Apparel, Lodging away, Medical care commodities, Alcohol, Tobacco, Education, Communication, Recreation) are adjusted indirectly by the BLS, i.e. from their components. The Nowcast gap for those is a weight-averaged estimate from the sub-series above.</t>
  </si>
</sst>
</file>

<file path=xl/styles.xml><?xml version="1.0" encoding="utf-8"?>
<styleSheet xmlns="http://schemas.openxmlformats.org/spreadsheetml/2006/main">
  <numFmts count="18">
    <numFmt numFmtId="164" formatCode="General"/>
    <numFmt numFmtId="165" formatCode="0.000"/>
    <numFmt numFmtId="166" formatCode="0.000%"/>
    <numFmt numFmtId="167" formatCode="0.00%"/>
    <numFmt numFmtId="168" formatCode="0.0000"/>
    <numFmt numFmtId="169" formatCode="0.00"/>
    <numFmt numFmtId="170" formatCode="0.00000"/>
    <numFmt numFmtId="171" formatCode="0.0"/>
    <numFmt numFmtId="172" formatCode="0.0%"/>
    <numFmt numFmtId="173" formatCode="0%"/>
    <numFmt numFmtId="174" formatCode="\+0.00"/>
    <numFmt numFmtId="175" formatCode="#,##0"/>
    <numFmt numFmtId="176" formatCode="\+0.00;\-0.00"/>
    <numFmt numFmtId="177" formatCode="\+0.0;\-0.0;0.0"/>
    <numFmt numFmtId="178" formatCode="\+0.000;\-0.000"/>
    <numFmt numFmtId="179" formatCode="\+0.000;\-0.000;0.000"/>
    <numFmt numFmtId="180" formatCode="\+0.0%;\-0.0%;0.0%"/>
    <numFmt numFmtId="181" formatCode="yyyy\-mm\-dd"/>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color rgb="FF00000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
      <sz val="9"/>
      <name val="Arial"/>
      <family val="0"/>
      <charset val="1"/>
    </font>
    <font>
      <sz val="10"/>
      <name val="Arial"/>
      <family val="2"/>
    </font>
    <font>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E2EFDA"/>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5" fontId="8" fillId="0" borderId="1" xfId="0"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5" fontId="9" fillId="0" borderId="1" xfId="0" applyFont="true" applyBorder="true" applyAlignment="true" applyProtection="true">
      <alignment horizontal="general" vertical="bottom" textRotation="0" wrapText="false" indent="0" shrinkToFit="false"/>
      <protection locked="true" hidden="false"/>
    </xf>
    <xf numFmtId="167" fontId="9" fillId="0" borderId="1" xfId="0" applyFont="true" applyBorder="true" applyAlignment="true" applyProtection="true">
      <alignment horizontal="general" vertical="bottom" textRotation="0" wrapText="false" indent="0" shrinkToFit="false"/>
      <protection locked="true" hidden="false"/>
    </xf>
    <xf numFmtId="168" fontId="0" fillId="0" borderId="1" xfId="0" applyFont="false" applyBorder="true" applyAlignment="true" applyProtection="true">
      <alignment horizontal="general" vertical="bottom" textRotation="0" wrapText="false" indent="0" shrinkToFit="false"/>
      <protection locked="true" hidden="false"/>
    </xf>
    <xf numFmtId="165" fontId="0" fillId="0" borderId="1" xfId="0" applyFont="false" applyBorder="true" applyAlignment="true" applyProtection="true">
      <alignment horizontal="general" vertical="bottom" textRotation="0" wrapText="false" indent="0" shrinkToFit="false"/>
      <protection locked="true" hidden="false"/>
    </xf>
    <xf numFmtId="169" fontId="8" fillId="0" borderId="1" xfId="0" applyFont="true" applyBorder="true" applyAlignment="true" applyProtection="true">
      <alignment horizontal="general" vertical="bottom" textRotation="0" wrapText="false" indent="0" shrinkToFit="false"/>
      <protection locked="true" hidden="false"/>
    </xf>
    <xf numFmtId="169" fontId="0" fillId="0" borderId="1" xfId="0" applyFont="false" applyBorder="true" applyAlignment="true" applyProtection="true">
      <alignment horizontal="general" vertical="bottom" textRotation="0" wrapText="false" indent="0" shrinkToFit="false"/>
      <protection locked="true" hidden="false"/>
    </xf>
    <xf numFmtId="170" fontId="0" fillId="0" borderId="1" xfId="0" applyFont="fals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top"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5" fontId="6" fillId="3" borderId="0" xfId="0" applyFont="true" applyBorder="false" applyAlignment="true" applyProtection="true">
      <alignment horizontal="general" vertical="bottom" textRotation="0" wrapText="false" indent="0" shrinkToFit="false"/>
      <protection locked="true" hidden="false"/>
    </xf>
    <xf numFmtId="171" fontId="6" fillId="3" borderId="0" xfId="0" applyFont="true" applyBorder="false" applyAlignment="true" applyProtection="true">
      <alignment horizontal="general" vertical="bottom" textRotation="0" wrapText="false" indent="0" shrinkToFit="false"/>
      <protection locked="true" hidden="false"/>
    </xf>
    <xf numFmtId="165" fontId="0" fillId="3" borderId="0" xfId="0" applyFont="false" applyBorder="fals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71" fontId="0" fillId="3" borderId="0" xfId="0" applyFont="false" applyBorder="false" applyAlignment="true" applyProtection="true">
      <alignment horizontal="general"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2" borderId="1" xfId="0" applyFont="true" applyBorder="true" applyAlignment="true" applyProtection="true">
      <alignment horizontal="center" vertical="bottom" textRotation="0" wrapText="true" indent="0" shrinkToFit="false"/>
      <protection locked="true" hidden="false"/>
    </xf>
    <xf numFmtId="164" fontId="12" fillId="0" borderId="1" xfId="0" applyFont="true" applyBorder="true" applyAlignment="true" applyProtection="true">
      <alignment horizontal="general" vertical="bottom" textRotation="0" wrapText="false" indent="0" shrinkToFit="false"/>
      <protection locked="true" hidden="false"/>
    </xf>
    <xf numFmtId="169" fontId="12" fillId="0" borderId="1" xfId="0" applyFont="true" applyBorder="true" applyAlignment="true" applyProtection="true">
      <alignment horizontal="general" vertical="bottom" textRotation="0" wrapText="false" indent="0" shrinkToFit="false"/>
      <protection locked="true" hidden="false"/>
    </xf>
    <xf numFmtId="173" fontId="12" fillId="0" borderId="1" xfId="0" applyFont="true" applyBorder="true" applyAlignment="true" applyProtection="true">
      <alignment horizontal="general" vertical="bottom" textRotation="0" wrapText="false" indent="0" shrinkToFit="false"/>
      <protection locked="true" hidden="false"/>
    </xf>
    <xf numFmtId="174" fontId="12" fillId="4" borderId="1" xfId="0" applyFont="true" applyBorder="true" applyAlignment="true" applyProtection="true">
      <alignment horizontal="general" vertical="bottom" textRotation="0" wrapText="false" indent="0" shrinkToFit="false"/>
      <protection locked="true" hidden="false"/>
    </xf>
    <xf numFmtId="165" fontId="12" fillId="0" borderId="1" xfId="0" applyFont="true" applyBorder="true" applyAlignment="true" applyProtection="true">
      <alignment horizontal="general" vertical="bottom" textRotation="0" wrapText="false" indent="0" shrinkToFit="false"/>
      <protection locked="true" hidden="false"/>
    </xf>
    <xf numFmtId="175" fontId="12" fillId="0" borderId="1" xfId="0"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general" vertical="top" textRotation="0" wrapText="true" indent="0" shrinkToFit="false"/>
      <protection locked="true" hidden="false"/>
    </xf>
    <xf numFmtId="174" fontId="12" fillId="0" borderId="1"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76" fontId="0" fillId="0" borderId="1" xfId="0" applyFont="false" applyBorder="true" applyAlignment="true" applyProtection="true">
      <alignment horizontal="general" vertical="bottom" textRotation="0" wrapText="false" indent="0" shrinkToFit="false"/>
      <protection locked="true" hidden="false"/>
    </xf>
    <xf numFmtId="177" fontId="0" fillId="0" borderId="1" xfId="0" applyFont="false" applyBorder="true" applyAlignment="true" applyProtection="true">
      <alignment horizontal="general" vertical="bottom" textRotation="0" wrapText="false" indent="0" shrinkToFit="false"/>
      <protection locked="true" hidden="false"/>
    </xf>
    <xf numFmtId="171" fontId="0" fillId="0" borderId="1" xfId="0" applyFont="false" applyBorder="true" applyAlignment="true" applyProtection="true">
      <alignment horizontal="general" vertical="bottom" textRotation="0" wrapText="false" indent="0" shrinkToFit="false"/>
      <protection locked="true" hidden="false"/>
    </xf>
    <xf numFmtId="178" fontId="0" fillId="0" borderId="0" xfId="0" applyFont="false" applyBorder="false" applyAlignment="true" applyProtection="true">
      <alignment horizontal="general" vertical="bottom" textRotation="0" wrapText="false" indent="0" shrinkToFit="false"/>
      <protection locked="true" hidden="false"/>
    </xf>
    <xf numFmtId="173" fontId="0" fillId="0" borderId="0" xfId="0" applyFont="false" applyBorder="fals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73" fontId="0" fillId="0" borderId="1" xfId="0" applyFont="false" applyBorder="true" applyAlignment="true" applyProtection="true">
      <alignment horizontal="general" vertical="bottom" textRotation="0" wrapText="false" indent="0" shrinkToFit="false"/>
      <protection locked="true" hidden="false"/>
    </xf>
    <xf numFmtId="164" fontId="8" fillId="3" borderId="0" xfId="0" applyFont="true" applyBorder="false" applyAlignment="true" applyProtection="true">
      <alignment horizontal="general" vertical="bottom" textRotation="0" wrapText="false" indent="0" shrinkToFit="false"/>
      <protection locked="true" hidden="false"/>
    </xf>
    <xf numFmtId="171" fontId="8" fillId="0" borderId="1" xfId="0" applyFont="true" applyBorder="true" applyAlignment="true" applyProtection="true">
      <alignment horizontal="general" vertical="bottom" textRotation="0" wrapText="false" indent="0" shrinkToFit="false"/>
      <protection locked="true" hidden="false"/>
    </xf>
    <xf numFmtId="172" fontId="0" fillId="0" borderId="1" xfId="0" applyFont="false" applyBorder="true" applyAlignment="true" applyProtection="true">
      <alignment horizontal="general" vertical="bottom" textRotation="0" wrapText="false" indent="0" shrinkToFit="false"/>
      <protection locked="true" hidden="false"/>
    </xf>
    <xf numFmtId="179" fontId="0" fillId="0" borderId="1" xfId="0" applyFont="false" applyBorder="true" applyAlignment="true" applyProtection="true">
      <alignment horizontal="general" vertical="bottom" textRotation="0" wrapText="false" indent="0" shrinkToFit="false"/>
      <protection locked="true" hidden="false"/>
    </xf>
    <xf numFmtId="180" fontId="0" fillId="0" borderId="1" xfId="0" applyFont="fals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9" fontId="9" fillId="0" borderId="1"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81" fontId="8"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17.25" hidden="false" customHeight="true" outlineLevel="0" collapsed="false">
      <c r="A1" s="2" t="s">
        <v>0</v>
      </c>
    </row>
    <row r="2" customFormat="false" ht="15" hidden="false" customHeight="true" outlineLevel="0" collapsed="false">
      <c r="A2" s="3"/>
    </row>
    <row r="3" customFormat="false" ht="15" hidden="false" customHeight="true" outlineLevel="0" collapsed="false">
      <c r="A3" s="4" t="s">
        <v>1</v>
      </c>
    </row>
    <row r="4" customFormat="false" ht="15" hidden="false" customHeight="true" outlineLevel="0" collapsed="false">
      <c r="A4" s="3" t="s">
        <v>2</v>
      </c>
    </row>
    <row r="5" customFormat="false" ht="15" hidden="false" customHeight="true" outlineLevel="0" collapsed="false">
      <c r="A5" s="3" t="s">
        <v>3</v>
      </c>
    </row>
    <row r="6" customFormat="false" ht="15" hidden="false" customHeight="true" outlineLevel="0" collapsed="false">
      <c r="A6" s="3" t="s">
        <v>4</v>
      </c>
    </row>
    <row r="7" customFormat="false" ht="15" hidden="false" customHeight="true" outlineLevel="0" collapsed="false">
      <c r="A7" s="3" t="s">
        <v>5</v>
      </c>
    </row>
    <row r="8" customFormat="false" ht="15" hidden="false" customHeight="true" outlineLevel="0" collapsed="false">
      <c r="A8" s="3" t="s">
        <v>6</v>
      </c>
    </row>
    <row r="9" customFormat="false" ht="15" hidden="false" customHeight="true" outlineLevel="0" collapsed="false">
      <c r="A9" s="3"/>
    </row>
    <row r="10" customFormat="false" ht="15" hidden="false" customHeight="true" outlineLevel="0" collapsed="false">
      <c r="A10" s="4" t="s">
        <v>7</v>
      </c>
    </row>
    <row r="11" customFormat="false" ht="15" hidden="false" customHeight="true" outlineLevel="0" collapsed="false">
      <c r="A11" s="3" t="s">
        <v>8</v>
      </c>
    </row>
    <row r="12" customFormat="false" ht="15" hidden="false" customHeight="true" outlineLevel="0" collapsed="false">
      <c r="A12" s="3" t="s">
        <v>9</v>
      </c>
    </row>
    <row r="13" customFormat="false" ht="15" hidden="false" customHeight="true" outlineLevel="0" collapsed="false">
      <c r="A13" s="3" t="s">
        <v>10</v>
      </c>
    </row>
    <row r="14" customFormat="false" ht="15" hidden="false" customHeight="true" outlineLevel="0" collapsed="false">
      <c r="A14" s="3" t="s">
        <v>11</v>
      </c>
    </row>
    <row r="15" customFormat="false" ht="15" hidden="false" customHeight="true" outlineLevel="0" collapsed="false">
      <c r="A15" s="3" t="s">
        <v>12</v>
      </c>
    </row>
    <row r="16" customFormat="false" ht="15" hidden="false" customHeight="true" outlineLevel="0" collapsed="false">
      <c r="A16" s="3" t="s">
        <v>13</v>
      </c>
    </row>
    <row r="17" customFormat="false" ht="15" hidden="false" customHeight="true" outlineLevel="0" collapsed="false">
      <c r="A17" s="3"/>
    </row>
    <row r="18" customFormat="false" ht="15" hidden="false" customHeight="true" outlineLevel="0" collapsed="false">
      <c r="A18" s="4" t="s">
        <v>14</v>
      </c>
    </row>
    <row r="19" customFormat="false" ht="15" hidden="false" customHeight="true" outlineLevel="0" collapsed="false">
      <c r="A19" s="3" t="s">
        <v>15</v>
      </c>
    </row>
    <row r="20" customFormat="false" ht="15" hidden="false" customHeight="true" outlineLevel="0" collapsed="false">
      <c r="A20" s="3"/>
    </row>
    <row r="21" customFormat="false" ht="15" hidden="false" customHeight="true" outlineLevel="0" collapsed="false">
      <c r="A21" s="4" t="s">
        <v>16</v>
      </c>
    </row>
    <row r="22" customFormat="false" ht="15" hidden="false" customHeight="true" outlineLevel="0" collapsed="false">
      <c r="A22" s="3" t="s">
        <v>17</v>
      </c>
    </row>
    <row r="23" customFormat="false" ht="15" hidden="false" customHeight="true" outlineLevel="0" collapsed="false">
      <c r="A23" s="3" t="s">
        <v>18</v>
      </c>
    </row>
    <row r="24" customFormat="false" ht="15" hidden="false" customHeight="true" outlineLevel="0" collapsed="false">
      <c r="A24" s="3" t="s">
        <v>19</v>
      </c>
    </row>
    <row r="25" customFormat="false" ht="15" hidden="false" customHeight="true" outlineLevel="0" collapsed="false">
      <c r="A25" s="3" t="s">
        <v>20</v>
      </c>
    </row>
    <row r="26" customFormat="false" ht="15" hidden="false" customHeight="true" outlineLevel="0" collapsed="false">
      <c r="A26" s="3" t="s">
        <v>21</v>
      </c>
    </row>
    <row r="27" customFormat="false" ht="15" hidden="false" customHeight="true" outlineLevel="0" collapsed="false">
      <c r="A27" s="3" t="s">
        <v>22</v>
      </c>
    </row>
    <row r="28" customFormat="false" ht="15" hidden="false" customHeight="true" outlineLevel="0" collapsed="false">
      <c r="A28" s="3" t="s">
        <v>23</v>
      </c>
    </row>
    <row r="29" customFormat="false" ht="15" hidden="false" customHeight="true" outlineLevel="0" collapsed="false">
      <c r="A29" s="3" t="s">
        <v>24</v>
      </c>
    </row>
    <row r="30" customFormat="false" ht="15" hidden="false" customHeight="true" outlineLevel="0" collapsed="false">
      <c r="A30" s="3" t="s">
        <v>25</v>
      </c>
    </row>
    <row r="31" customFormat="false" ht="15" hidden="false" customHeight="true" outlineLevel="0" collapsed="false">
      <c r="A31" s="3" t="s">
        <v>26</v>
      </c>
    </row>
    <row r="32" customFormat="false" ht="15" hidden="false" customHeight="true" outlineLevel="0" collapsed="false">
      <c r="A32" s="3"/>
    </row>
    <row r="33" customFormat="false" ht="15" hidden="false" customHeight="true" outlineLevel="0" collapsed="false">
      <c r="A33" s="4" t="s">
        <v>27</v>
      </c>
    </row>
    <row r="34" customFormat="false" ht="15" hidden="false" customHeight="true" outlineLevel="0" collapsed="false">
      <c r="A34" s="3" t="s">
        <v>28</v>
      </c>
    </row>
    <row r="35" customFormat="false" ht="15" hidden="false" customHeight="true" outlineLevel="0" collapsed="false">
      <c r="A35" s="3" t="s">
        <v>29</v>
      </c>
    </row>
    <row r="36" customFormat="false" ht="15" hidden="false" customHeight="true" outlineLevel="0" collapsed="false">
      <c r="A36" s="3" t="s">
        <v>30</v>
      </c>
    </row>
    <row r="37" customFormat="false" ht="15" hidden="false" customHeight="true" outlineLevel="0" collapsed="false">
      <c r="A37" s="3" t="s">
        <v>31</v>
      </c>
    </row>
    <row r="38" customFormat="false" ht="15" hidden="false" customHeight="true" outlineLevel="0" collapsed="false">
      <c r="A38" s="3"/>
    </row>
    <row r="39" customFormat="false" ht="15" hidden="false" customHeight="true" outlineLevel="0" collapsed="false">
      <c r="A39" s="3"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5" min="2" style="1" width="11"/>
    <col collapsed="false" customWidth="true" hidden="false" outlineLevel="0" max="10" min="6" style="1" width="10"/>
    <col collapsed="false" customWidth="true" hidden="false" outlineLevel="0" max="11" min="11" style="1" width="8"/>
    <col collapsed="false" customWidth="true" hidden="false" outlineLevel="0" max="12" min="12" style="1" width="3"/>
    <col collapsed="false" customWidth="true" hidden="false" outlineLevel="0" max="14" min="13" style="1" width="11"/>
    <col collapsed="false" customWidth="true" hidden="false" outlineLevel="0" max="18" min="15" style="1" width="10"/>
  </cols>
  <sheetData>
    <row r="1" customFormat="false" ht="17.25" hidden="false" customHeight="true" outlineLevel="0" collapsed="false">
      <c r="A1" s="2" t="s">
        <v>33</v>
      </c>
    </row>
    <row r="2" customFormat="false" ht="15" hidden="false" customHeight="true" outlineLevel="0" collapsed="false">
      <c r="A2" s="3" t="s">
        <v>34</v>
      </c>
    </row>
    <row r="4" customFormat="false" ht="23.25" hidden="false" customHeight="true" outlineLevel="0" collapsed="false">
      <c r="A4" s="5" t="s">
        <v>35</v>
      </c>
      <c r="B4" s="5" t="s">
        <v>36</v>
      </c>
      <c r="C4" s="5" t="s">
        <v>37</v>
      </c>
      <c r="D4" s="5" t="s">
        <v>38</v>
      </c>
      <c r="E4" s="5" t="s">
        <v>39</v>
      </c>
      <c r="F4" s="5" t="s">
        <v>40</v>
      </c>
      <c r="G4" s="5" t="s">
        <v>41</v>
      </c>
      <c r="H4" s="5" t="s">
        <v>42</v>
      </c>
      <c r="I4" s="5" t="s">
        <v>43</v>
      </c>
      <c r="J4" s="5" t="s">
        <v>44</v>
      </c>
      <c r="K4" s="5" t="s">
        <v>45</v>
      </c>
      <c r="L4" s="5"/>
      <c r="M4" s="5" t="s">
        <v>46</v>
      </c>
      <c r="N4" s="5" t="s">
        <v>47</v>
      </c>
      <c r="O4" s="5" t="s">
        <v>48</v>
      </c>
      <c r="P4" s="5" t="s">
        <v>49</v>
      </c>
      <c r="Q4" s="5" t="s">
        <v>50</v>
      </c>
      <c r="R4" s="5" t="s">
        <v>51</v>
      </c>
    </row>
    <row r="5" customFormat="false" ht="15" hidden="false" customHeight="true" outlineLevel="0" collapsed="false">
      <c r="A5" s="6" t="s">
        <v>52</v>
      </c>
      <c r="B5" s="7" t="n">
        <v>100</v>
      </c>
      <c r="C5" s="7" t="n">
        <v>323.976</v>
      </c>
      <c r="D5" s="7" t="n">
        <v>333.918</v>
      </c>
      <c r="E5" s="7" t="n">
        <v>334.98</v>
      </c>
      <c r="F5" s="8" t="n">
        <v>3.4</v>
      </c>
      <c r="G5" s="8" t="n">
        <v>0.3</v>
      </c>
      <c r="H5" s="8" t="n">
        <v>-0.4</v>
      </c>
      <c r="I5" s="8" t="n">
        <v>0.1</v>
      </c>
      <c r="J5" s="8" t="n">
        <v>0.4</v>
      </c>
      <c r="K5" s="8" t="s">
        <v>53</v>
      </c>
      <c r="M5" s="7" t="n">
        <v>100</v>
      </c>
      <c r="N5" s="7" t="n">
        <v>324.8</v>
      </c>
      <c r="O5" s="8" t="n">
        <v>0.3</v>
      </c>
      <c r="P5" s="8" t="n">
        <v>0.2</v>
      </c>
      <c r="Q5" s="8" t="n">
        <v>0.4</v>
      </c>
      <c r="R5" s="8" t="n">
        <v>0.3</v>
      </c>
    </row>
    <row r="6" customFormat="false" ht="15" hidden="false" customHeight="true" outlineLevel="0" collapsed="false">
      <c r="A6" s="6" t="s">
        <v>54</v>
      </c>
      <c r="B6" s="7" t="n">
        <v>13.54</v>
      </c>
      <c r="C6" s="7" t="n">
        <v>341.295</v>
      </c>
      <c r="D6" s="7" t="n">
        <v>350.164</v>
      </c>
      <c r="E6" s="7" t="n">
        <v>350.418</v>
      </c>
      <c r="F6" s="8" t="n">
        <v>2.7</v>
      </c>
      <c r="G6" s="8" t="n">
        <v>0.1</v>
      </c>
      <c r="H6" s="8" t="n">
        <v>0.2</v>
      </c>
      <c r="I6" s="8" t="n">
        <v>0.1</v>
      </c>
      <c r="J6" s="8" t="n">
        <v>0.1</v>
      </c>
      <c r="K6" s="8" t="s">
        <v>53</v>
      </c>
      <c r="M6" s="7" t="n">
        <v>13.646</v>
      </c>
      <c r="N6" s="7" t="n">
        <v>342.405</v>
      </c>
      <c r="O6" s="8" t="n">
        <v>0.3</v>
      </c>
      <c r="P6" s="8" t="n">
        <v>0</v>
      </c>
      <c r="Q6" s="8" t="n">
        <v>0.5</v>
      </c>
      <c r="R6" s="8" t="n">
        <v>0.2</v>
      </c>
    </row>
    <row r="7" customFormat="false" ht="15" hidden="false" customHeight="true" outlineLevel="0" collapsed="false">
      <c r="A7" s="6" t="s">
        <v>55</v>
      </c>
      <c r="B7" s="7" t="n">
        <v>8.232</v>
      </c>
      <c r="C7" s="7" t="n">
        <v>314.608</v>
      </c>
      <c r="D7" s="7" t="n">
        <v>321.643</v>
      </c>
      <c r="E7" s="7" t="n">
        <v>321.5</v>
      </c>
      <c r="F7" s="8" t="n">
        <v>2.2</v>
      </c>
      <c r="G7" s="8" t="n">
        <v>0</v>
      </c>
      <c r="H7" s="8" t="n">
        <v>0.2</v>
      </c>
      <c r="I7" s="8" t="n">
        <v>-0.1</v>
      </c>
      <c r="J7" s="8" t="n">
        <v>0</v>
      </c>
      <c r="K7" s="8" t="s">
        <v>53</v>
      </c>
      <c r="M7" s="7" t="n">
        <v>7.993</v>
      </c>
      <c r="N7" s="7" t="n">
        <v>316.042</v>
      </c>
      <c r="O7" s="8" t="n">
        <v>0.5</v>
      </c>
      <c r="P7" s="8" t="n">
        <v>-0.1</v>
      </c>
      <c r="Q7" s="8" t="n">
        <v>0.6</v>
      </c>
      <c r="R7" s="8" t="n">
        <v>0.3</v>
      </c>
    </row>
    <row r="8" customFormat="false" ht="15" hidden="false" customHeight="true" outlineLevel="0" collapsed="false">
      <c r="A8" s="6" t="s">
        <v>56</v>
      </c>
      <c r="B8" s="7" t="n">
        <v>5.307</v>
      </c>
      <c r="C8" s="7" t="n">
        <v>384.909</v>
      </c>
      <c r="D8" s="7" t="n">
        <v>396.859</v>
      </c>
      <c r="E8" s="7" t="n">
        <v>397.868</v>
      </c>
      <c r="F8" s="8" t="n">
        <v>3.4</v>
      </c>
      <c r="G8" s="8" t="n">
        <v>0.3</v>
      </c>
      <c r="H8" s="8" t="n">
        <v>0.2</v>
      </c>
      <c r="I8" s="8" t="n">
        <v>0.3</v>
      </c>
      <c r="J8" s="8" t="n">
        <v>0.3</v>
      </c>
      <c r="K8" s="8" t="s">
        <v>57</v>
      </c>
      <c r="M8" s="7" t="n">
        <v>5.653</v>
      </c>
      <c r="N8" s="7" t="n">
        <v>385.451</v>
      </c>
      <c r="O8" s="8" t="n">
        <v>0.1</v>
      </c>
      <c r="P8" s="8" t="n">
        <v>0.3</v>
      </c>
      <c r="Q8" s="8" t="n">
        <v>0.3</v>
      </c>
      <c r="R8" s="8" t="n">
        <v>0.1</v>
      </c>
    </row>
    <row r="9" customFormat="false" ht="15" hidden="false" customHeight="true" outlineLevel="0" collapsed="false">
      <c r="A9" s="6" t="s">
        <v>58</v>
      </c>
      <c r="B9" s="7" t="n">
        <v>7.347</v>
      </c>
      <c r="C9" s="7" t="n">
        <v>283.247</v>
      </c>
      <c r="D9" s="7" t="n">
        <v>325.15</v>
      </c>
      <c r="E9" s="7" t="n">
        <v>329.351</v>
      </c>
      <c r="F9" s="8" t="n">
        <v>16.3</v>
      </c>
      <c r="G9" s="8" t="n">
        <v>1.3</v>
      </c>
      <c r="H9" s="8" t="n">
        <v>-5.7</v>
      </c>
      <c r="I9" s="8" t="n">
        <v>-1.5</v>
      </c>
      <c r="J9" s="8" t="n">
        <v>2.1</v>
      </c>
      <c r="K9" s="8" t="s">
        <v>53</v>
      </c>
      <c r="M9" s="7" t="n">
        <v>6.4</v>
      </c>
      <c r="N9" s="7" t="n">
        <v>283.589</v>
      </c>
      <c r="O9" s="8" t="n">
        <v>0.1</v>
      </c>
      <c r="P9" s="8" t="n">
        <v>-1.1</v>
      </c>
      <c r="Q9" s="8" t="n">
        <v>0.7</v>
      </c>
      <c r="R9" s="8" t="n">
        <v>1.5</v>
      </c>
    </row>
    <row r="10" customFormat="false" ht="15" hidden="false" customHeight="true" outlineLevel="0" collapsed="false">
      <c r="A10" s="6" t="s">
        <v>59</v>
      </c>
      <c r="B10" s="7" t="n">
        <v>4.044</v>
      </c>
      <c r="C10" s="7" t="n">
        <v>289.117</v>
      </c>
      <c r="D10" s="7" t="n">
        <v>359.754</v>
      </c>
      <c r="E10" s="7" t="n">
        <v>370.006</v>
      </c>
      <c r="F10" s="8" t="n">
        <v>28</v>
      </c>
      <c r="G10" s="8" t="n">
        <v>2.8</v>
      </c>
      <c r="H10" s="8" t="n">
        <v>-9.5</v>
      </c>
      <c r="I10" s="8" t="n">
        <v>-2.9</v>
      </c>
      <c r="J10" s="8" t="n">
        <v>4.2</v>
      </c>
      <c r="K10" s="8" t="s">
        <v>53</v>
      </c>
      <c r="M10" s="7" t="n">
        <v>3.166</v>
      </c>
      <c r="N10" s="7" t="n">
        <v>292.19</v>
      </c>
      <c r="O10" s="8" t="n">
        <v>1.1</v>
      </c>
      <c r="P10" s="8" t="n">
        <v>-1.9</v>
      </c>
      <c r="Q10" s="8" t="n">
        <v>1.7</v>
      </c>
      <c r="R10" s="8" t="n">
        <v>3.8</v>
      </c>
    </row>
    <row r="11" customFormat="false" ht="15" hidden="false" customHeight="true" outlineLevel="0" collapsed="false">
      <c r="A11" s="6" t="s">
        <v>60</v>
      </c>
      <c r="B11" s="7" t="n">
        <v>0.107</v>
      </c>
      <c r="C11" s="7" t="n">
        <v>347.565</v>
      </c>
      <c r="D11" s="7" t="n">
        <v>490.083</v>
      </c>
      <c r="E11" s="7" t="n">
        <v>528.436</v>
      </c>
      <c r="F11" s="8" t="n">
        <v>52</v>
      </c>
      <c r="G11" s="8" t="n">
        <v>7.8</v>
      </c>
      <c r="H11" s="8" t="n">
        <v>-9.2</v>
      </c>
      <c r="I11" s="8" t="n">
        <v>-1.7</v>
      </c>
      <c r="J11" s="8" t="n">
        <v>10.1</v>
      </c>
      <c r="K11" s="8" t="s">
        <v>53</v>
      </c>
      <c r="M11" s="7" t="n">
        <v>0.074</v>
      </c>
      <c r="N11" s="7" t="n">
        <v>348.399</v>
      </c>
      <c r="O11" s="8" t="n">
        <v>0.2</v>
      </c>
      <c r="P11" s="8" t="n">
        <v>1.8</v>
      </c>
      <c r="Q11" s="8" t="n">
        <v>-0.3</v>
      </c>
      <c r="R11" s="8" t="n">
        <v>0.6</v>
      </c>
    </row>
    <row r="12" customFormat="false" ht="15" hidden="false" customHeight="true" outlineLevel="0" collapsed="false">
      <c r="A12" s="6" t="s">
        <v>61</v>
      </c>
      <c r="B12" s="7" t="n">
        <v>3.882</v>
      </c>
      <c r="C12" s="7" t="n">
        <v>283.504</v>
      </c>
      <c r="D12" s="7" t="n">
        <v>352.826</v>
      </c>
      <c r="E12" s="7" t="n">
        <v>362.487</v>
      </c>
      <c r="F12" s="8" t="n">
        <v>27.9</v>
      </c>
      <c r="G12" s="8" t="n">
        <v>2.7</v>
      </c>
      <c r="H12" s="8" t="n">
        <v>-9.6</v>
      </c>
      <c r="I12" s="8" t="n">
        <v>-3</v>
      </c>
      <c r="J12" s="8" t="n">
        <v>4.1</v>
      </c>
      <c r="K12" s="8" t="s">
        <v>53</v>
      </c>
      <c r="M12" s="7" t="n">
        <v>3.033</v>
      </c>
      <c r="N12" s="7" t="n">
        <v>286.672</v>
      </c>
      <c r="O12" s="8" t="n">
        <v>1.1</v>
      </c>
      <c r="P12" s="8" t="n">
        <v>-2</v>
      </c>
      <c r="Q12" s="8" t="n">
        <v>1.8</v>
      </c>
      <c r="R12" s="8" t="n">
        <v>4</v>
      </c>
    </row>
    <row r="13" customFormat="false" ht="15" hidden="false" customHeight="true" outlineLevel="0" collapsed="false">
      <c r="A13" s="6" t="s">
        <v>62</v>
      </c>
      <c r="B13" s="7" t="n">
        <v>3.77</v>
      </c>
      <c r="C13" s="7" t="n">
        <v>282.358</v>
      </c>
      <c r="D13" s="7" t="n">
        <v>350.846</v>
      </c>
      <c r="E13" s="7" t="n">
        <v>359.738</v>
      </c>
      <c r="F13" s="8" t="n">
        <v>27.4</v>
      </c>
      <c r="G13" s="8" t="n">
        <v>2.5</v>
      </c>
      <c r="H13" s="8" t="n">
        <v>-9.7</v>
      </c>
      <c r="I13" s="8" t="n">
        <v>-2.9</v>
      </c>
      <c r="J13" s="8" t="n">
        <v>3.9</v>
      </c>
      <c r="K13" s="8" t="s">
        <v>53</v>
      </c>
      <c r="M13" s="7" t="n">
        <v>2.949</v>
      </c>
      <c r="N13" s="7" t="n">
        <v>285.595</v>
      </c>
      <c r="O13" s="8" t="n">
        <v>1.1</v>
      </c>
      <c r="P13" s="8" t="n">
        <v>-2.2</v>
      </c>
      <c r="Q13" s="8" t="n">
        <v>1.9</v>
      </c>
      <c r="R13" s="8" t="n">
        <v>4.1</v>
      </c>
    </row>
    <row r="14" customFormat="false" ht="15" hidden="false" customHeight="true" outlineLevel="0" collapsed="false">
      <c r="A14" s="6" t="s">
        <v>63</v>
      </c>
      <c r="B14" s="7" t="n">
        <v>3.303</v>
      </c>
      <c r="C14" s="7" t="n">
        <v>289.154</v>
      </c>
      <c r="D14" s="7" t="n">
        <v>302.594</v>
      </c>
      <c r="E14" s="7" t="n">
        <v>300.729</v>
      </c>
      <c r="F14" s="8" t="n">
        <v>4</v>
      </c>
      <c r="G14" s="8" t="n">
        <v>-0.6</v>
      </c>
      <c r="H14" s="8" t="n">
        <v>-0.7</v>
      </c>
      <c r="I14" s="8" t="n">
        <v>0.3</v>
      </c>
      <c r="J14" s="8" t="n">
        <v>-0.4</v>
      </c>
      <c r="K14" s="8" t="s">
        <v>53</v>
      </c>
      <c r="M14" s="7" t="n">
        <v>3.235</v>
      </c>
      <c r="N14" s="7" t="n">
        <v>286.838</v>
      </c>
      <c r="O14" s="8" t="n">
        <v>-0.8</v>
      </c>
      <c r="P14" s="8" t="n">
        <v>-0.3</v>
      </c>
      <c r="Q14" s="8" t="n">
        <v>-0.2</v>
      </c>
      <c r="R14" s="8" t="n">
        <v>-0.7</v>
      </c>
    </row>
    <row r="15" customFormat="false" ht="15" hidden="false" customHeight="true" outlineLevel="0" collapsed="false">
      <c r="A15" s="6" t="s">
        <v>64</v>
      </c>
      <c r="B15" s="7" t="n">
        <v>2.551</v>
      </c>
      <c r="C15" s="7" t="n">
        <v>298.738</v>
      </c>
      <c r="D15" s="7" t="n">
        <v>311.672</v>
      </c>
      <c r="E15" s="7" t="n">
        <v>310.057</v>
      </c>
      <c r="F15" s="8" t="n">
        <v>3.8</v>
      </c>
      <c r="G15" s="8" t="n">
        <v>-0.5</v>
      </c>
      <c r="H15" s="8" t="n">
        <v>-1</v>
      </c>
      <c r="I15" s="8" t="n">
        <v>0.1</v>
      </c>
      <c r="J15" s="8" t="n">
        <v>-0.2</v>
      </c>
      <c r="K15" s="8" t="s">
        <v>53</v>
      </c>
      <c r="M15" s="7" t="n">
        <v>2.465</v>
      </c>
      <c r="N15" s="7" t="n">
        <v>296.887</v>
      </c>
      <c r="O15" s="8" t="n">
        <v>-0.6</v>
      </c>
      <c r="P15" s="8" t="n">
        <v>-0.1</v>
      </c>
      <c r="Q15" s="8" t="n">
        <v>0.2</v>
      </c>
      <c r="R15" s="8" t="n">
        <v>-0.5</v>
      </c>
    </row>
    <row r="16" customFormat="false" ht="15" hidden="false" customHeight="true" outlineLevel="0" collapsed="false">
      <c r="A16" s="6" t="s">
        <v>65</v>
      </c>
      <c r="B16" s="7" t="n">
        <v>0.752</v>
      </c>
      <c r="C16" s="7" t="n">
        <v>255.253</v>
      </c>
      <c r="D16" s="7" t="n">
        <v>268.999</v>
      </c>
      <c r="E16" s="7" t="n">
        <v>266.448</v>
      </c>
      <c r="F16" s="8" t="n">
        <v>4.4</v>
      </c>
      <c r="G16" s="8" t="n">
        <v>-0.9</v>
      </c>
      <c r="H16" s="8" t="n">
        <v>0.5</v>
      </c>
      <c r="I16" s="8" t="n">
        <v>0.7</v>
      </c>
      <c r="J16" s="8" t="n">
        <v>-1.1</v>
      </c>
      <c r="K16" s="8" t="s">
        <v>53</v>
      </c>
      <c r="M16" s="7" t="n">
        <v>0.77</v>
      </c>
      <c r="N16" s="7" t="n">
        <v>251.728</v>
      </c>
      <c r="O16" s="8" t="n">
        <v>-1.4</v>
      </c>
      <c r="P16" s="8" t="n">
        <v>-0.9</v>
      </c>
      <c r="Q16" s="8" t="n">
        <v>-1.6</v>
      </c>
      <c r="R16" s="8" t="n">
        <v>-1.2</v>
      </c>
    </row>
    <row r="17" customFormat="false" ht="15" hidden="false" customHeight="true" outlineLevel="0" collapsed="false">
      <c r="A17" s="6" t="s">
        <v>66</v>
      </c>
      <c r="B17" s="7" t="n">
        <v>79.114</v>
      </c>
      <c r="C17" s="7" t="n">
        <v>329.97</v>
      </c>
      <c r="D17" s="7" t="n">
        <v>337.133</v>
      </c>
      <c r="E17" s="7" t="n">
        <v>338.041</v>
      </c>
      <c r="F17" s="8" t="n">
        <v>2.4</v>
      </c>
      <c r="G17" s="8" t="n">
        <v>0.3</v>
      </c>
      <c r="H17" s="8" t="n">
        <v>0</v>
      </c>
      <c r="I17" s="8" t="n">
        <v>0.2</v>
      </c>
      <c r="J17" s="8" t="n">
        <v>0.3</v>
      </c>
      <c r="K17" s="8" t="s">
        <v>53</v>
      </c>
      <c r="M17" s="7" t="n">
        <v>79.954</v>
      </c>
      <c r="N17" s="7" t="n">
        <v>330.804</v>
      </c>
      <c r="O17" s="8" t="n">
        <v>0.3</v>
      </c>
      <c r="P17" s="8" t="n">
        <v>0.3</v>
      </c>
      <c r="Q17" s="8" t="n">
        <v>0.3</v>
      </c>
      <c r="R17" s="8" t="n">
        <v>0.2</v>
      </c>
    </row>
    <row r="18" customFormat="false" ht="15" hidden="false" customHeight="true" outlineLevel="0" collapsed="false">
      <c r="A18" s="6" t="s">
        <v>67</v>
      </c>
      <c r="B18" s="7" t="n">
        <v>18.842</v>
      </c>
      <c r="C18" s="7" t="n">
        <v>167.448</v>
      </c>
      <c r="D18" s="7" t="n">
        <v>168.112</v>
      </c>
      <c r="E18" s="7" t="n">
        <v>168.589</v>
      </c>
      <c r="F18" s="8" t="n">
        <v>0.7</v>
      </c>
      <c r="G18" s="8" t="n">
        <v>0.3</v>
      </c>
      <c r="H18" s="8" t="n">
        <v>-0.1</v>
      </c>
      <c r="I18" s="8" t="n">
        <v>0.2</v>
      </c>
      <c r="J18" s="8" t="n">
        <v>0.1</v>
      </c>
      <c r="K18" s="8" t="s">
        <v>53</v>
      </c>
      <c r="M18" s="7" t="n">
        <v>19.319</v>
      </c>
      <c r="N18" s="7" t="n">
        <v>168.083</v>
      </c>
      <c r="O18" s="8" t="n">
        <v>0.4</v>
      </c>
      <c r="P18" s="8" t="n">
        <v>0.2</v>
      </c>
      <c r="Q18" s="8" t="n">
        <v>0.3</v>
      </c>
      <c r="R18" s="8" t="n">
        <v>0.2</v>
      </c>
    </row>
    <row r="19" customFormat="false" ht="15" hidden="false" customHeight="true" outlineLevel="0" collapsed="false">
      <c r="A19" s="6" t="s">
        <v>68</v>
      </c>
      <c r="B19" s="7" t="n">
        <v>2.406</v>
      </c>
      <c r="C19" s="7" t="n">
        <v>131.989</v>
      </c>
      <c r="D19" s="7" t="n">
        <v>134.182</v>
      </c>
      <c r="E19" s="7" t="n">
        <v>136.752</v>
      </c>
      <c r="F19" s="8" t="n">
        <v>3.6</v>
      </c>
      <c r="G19" s="8" t="n">
        <v>1.9</v>
      </c>
      <c r="H19" s="8" t="n">
        <v>-0.6</v>
      </c>
      <c r="I19" s="8" t="n">
        <v>0.1</v>
      </c>
      <c r="J19" s="8" t="n">
        <v>0</v>
      </c>
      <c r="K19" s="8" t="s">
        <v>53</v>
      </c>
      <c r="M19" s="7" t="n">
        <v>2.504</v>
      </c>
      <c r="N19" s="7" t="n">
        <v>135.424</v>
      </c>
      <c r="O19" s="8" t="n">
        <v>2.6</v>
      </c>
      <c r="P19" s="8" t="n">
        <v>0.1</v>
      </c>
      <c r="Q19" s="8" t="n">
        <v>0.5</v>
      </c>
      <c r="R19" s="8" t="n">
        <v>0.7</v>
      </c>
    </row>
    <row r="20" customFormat="false" ht="15" hidden="false" customHeight="true" outlineLevel="0" collapsed="false">
      <c r="A20" s="6" t="s">
        <v>69</v>
      </c>
      <c r="B20" s="7" t="n">
        <v>3.756</v>
      </c>
      <c r="C20" s="7" t="n">
        <v>178.698</v>
      </c>
      <c r="D20" s="7" t="n">
        <v>179.541</v>
      </c>
      <c r="E20" s="7" t="n">
        <v>179.715</v>
      </c>
      <c r="F20" s="8" t="n">
        <v>0.6</v>
      </c>
      <c r="G20" s="8" t="n">
        <v>0.1</v>
      </c>
      <c r="H20" s="8" t="n">
        <v>0</v>
      </c>
      <c r="I20" s="8" t="n">
        <v>0.1</v>
      </c>
      <c r="J20" s="8" t="n">
        <v>0.3</v>
      </c>
      <c r="K20" s="8" t="s">
        <v>53</v>
      </c>
      <c r="M20" s="7" t="n">
        <v>4.307</v>
      </c>
      <c r="N20" s="7" t="n">
        <v>178.77</v>
      </c>
      <c r="O20" s="8" t="n">
        <v>0</v>
      </c>
      <c r="P20" s="8" t="n">
        <v>0</v>
      </c>
      <c r="Q20" s="8" t="n">
        <v>0.3</v>
      </c>
      <c r="R20" s="8" t="n">
        <v>0.2</v>
      </c>
    </row>
    <row r="21" customFormat="false" ht="15" hidden="false" customHeight="true" outlineLevel="0" collapsed="false">
      <c r="A21" s="6" t="s">
        <v>70</v>
      </c>
      <c r="B21" s="7" t="n">
        <v>2.698</v>
      </c>
      <c r="C21" s="7" t="n">
        <v>188.96</v>
      </c>
      <c r="D21" s="7" t="n">
        <v>184.661</v>
      </c>
      <c r="E21" s="7" t="n">
        <v>184.58</v>
      </c>
      <c r="F21" s="8" t="n">
        <v>-2.3</v>
      </c>
      <c r="G21" s="8" t="n">
        <v>0</v>
      </c>
      <c r="H21" s="8" t="n">
        <v>-0.2</v>
      </c>
      <c r="I21" s="8" t="n">
        <v>0.4</v>
      </c>
      <c r="J21" s="8" t="n">
        <v>0.4</v>
      </c>
      <c r="K21" s="8" t="s">
        <v>53</v>
      </c>
      <c r="M21" s="7" t="n">
        <v>2.44</v>
      </c>
      <c r="N21" s="7" t="n">
        <v>187.121</v>
      </c>
      <c r="O21" s="8" t="n">
        <v>-1</v>
      </c>
      <c r="P21" s="8" t="n">
        <v>0.5</v>
      </c>
      <c r="Q21" s="8" t="n">
        <v>1</v>
      </c>
      <c r="R21" s="8" t="n">
        <v>-0.4</v>
      </c>
    </row>
    <row r="22" customFormat="false" ht="15" hidden="false" customHeight="true" outlineLevel="0" collapsed="false">
      <c r="A22" s="6" t="s">
        <v>71</v>
      </c>
      <c r="B22" s="7" t="n">
        <v>1.403</v>
      </c>
      <c r="C22" s="7" t="n">
        <v>416.721</v>
      </c>
      <c r="D22" s="7" t="n">
        <v>406.462</v>
      </c>
      <c r="E22" s="7" t="n">
        <v>405.528</v>
      </c>
      <c r="F22" s="8" t="n">
        <v>-2.7</v>
      </c>
      <c r="G22" s="8" t="n">
        <v>-0.2</v>
      </c>
      <c r="H22" s="8" t="n">
        <v>-0.2</v>
      </c>
      <c r="I22" s="8" t="n">
        <v>-0.6</v>
      </c>
      <c r="J22" s="8" t="n">
        <v>-0.2</v>
      </c>
      <c r="K22" s="8" t="s">
        <v>57</v>
      </c>
      <c r="M22" s="7" t="n">
        <v>1.503</v>
      </c>
      <c r="N22" s="7" t="n">
        <v>416.471</v>
      </c>
      <c r="O22" s="8" t="n">
        <v>-0.1</v>
      </c>
      <c r="P22" s="8" t="n">
        <v>0.1</v>
      </c>
      <c r="Q22" s="8" t="n">
        <v>-0.3</v>
      </c>
      <c r="R22" s="8" t="n">
        <v>-0.1</v>
      </c>
    </row>
    <row r="23" customFormat="false" ht="15" hidden="false" customHeight="true" outlineLevel="0" collapsed="false">
      <c r="A23" s="6" t="s">
        <v>72</v>
      </c>
      <c r="B23" s="7" t="n">
        <v>0.825</v>
      </c>
      <c r="C23" s="7" t="n">
        <v>296.908</v>
      </c>
      <c r="D23" s="7" t="n">
        <v>301.367</v>
      </c>
      <c r="E23" s="7" t="n">
        <v>301.724</v>
      </c>
      <c r="F23" s="8" t="n">
        <v>1.6</v>
      </c>
      <c r="G23" s="8" t="n">
        <v>0.1</v>
      </c>
      <c r="H23" s="8" t="n">
        <v>0</v>
      </c>
      <c r="I23" s="8" t="n">
        <v>0.2</v>
      </c>
      <c r="J23" s="8" t="n">
        <v>0.1</v>
      </c>
      <c r="K23" s="8" t="s">
        <v>57</v>
      </c>
      <c r="M23" s="7" t="n">
        <v>0.828</v>
      </c>
      <c r="N23" s="7" t="n">
        <v>297.507</v>
      </c>
      <c r="O23" s="8" t="n">
        <v>0.2</v>
      </c>
      <c r="P23" s="8" t="n">
        <v>0.1</v>
      </c>
      <c r="Q23" s="8" t="n">
        <v>0.6</v>
      </c>
      <c r="R23" s="8" t="n">
        <v>0.2</v>
      </c>
    </row>
    <row r="24" customFormat="false" ht="15" hidden="false" customHeight="true" outlineLevel="0" collapsed="false">
      <c r="A24" s="6" t="s">
        <v>73</v>
      </c>
      <c r="B24" s="7" t="n">
        <v>0.448</v>
      </c>
      <c r="C24" s="7" t="n">
        <v>104.707</v>
      </c>
      <c r="D24" s="7" t="n">
        <v>110.593</v>
      </c>
      <c r="E24" s="7" t="n">
        <v>111.297</v>
      </c>
      <c r="F24" s="8" t="n">
        <v>6.3</v>
      </c>
      <c r="G24" s="8" t="n">
        <v>0.6</v>
      </c>
      <c r="H24" s="8" t="n">
        <v>-0.7</v>
      </c>
      <c r="I24" s="8" t="n">
        <v>0.5</v>
      </c>
      <c r="J24" s="8" t="n">
        <v>0.6</v>
      </c>
      <c r="K24" s="8" t="s">
        <v>57</v>
      </c>
      <c r="M24" s="7" t="n">
        <v>0.491</v>
      </c>
      <c r="N24" s="7" t="n">
        <v>1670.441</v>
      </c>
      <c r="O24" s="8" t="n">
        <v>0.6</v>
      </c>
      <c r="P24" s="8" t="n">
        <v>0.3</v>
      </c>
      <c r="Q24" s="8" t="n">
        <v>1</v>
      </c>
      <c r="R24" s="8" t="n">
        <v>0.6</v>
      </c>
    </row>
    <row r="25" customFormat="false" ht="15" hidden="false" customHeight="true" outlineLevel="0" collapsed="false">
      <c r="A25" s="6" t="s">
        <v>74</v>
      </c>
      <c r="B25" s="7" t="n">
        <v>60.272</v>
      </c>
      <c r="C25" s="7" t="n">
        <v>433.93</v>
      </c>
      <c r="D25" s="7" t="n">
        <v>445.809</v>
      </c>
      <c r="E25" s="7" t="n">
        <v>446.989</v>
      </c>
      <c r="F25" s="8" t="n">
        <v>3</v>
      </c>
      <c r="G25" s="8" t="n">
        <v>0.3</v>
      </c>
      <c r="H25" s="8" t="n">
        <v>0</v>
      </c>
      <c r="I25" s="8" t="n">
        <v>0.2</v>
      </c>
      <c r="J25" s="8" t="n">
        <v>0.3</v>
      </c>
      <c r="K25" s="8" t="s">
        <v>53</v>
      </c>
      <c r="M25" s="7" t="n">
        <v>60.635</v>
      </c>
      <c r="N25" s="7" t="n">
        <v>434.852</v>
      </c>
      <c r="O25" s="8" t="n">
        <v>0.2</v>
      </c>
      <c r="P25" s="8" t="n">
        <v>0.4</v>
      </c>
      <c r="Q25" s="8" t="n">
        <v>0.3</v>
      </c>
      <c r="R25" s="8" t="n">
        <v>0.2</v>
      </c>
    </row>
    <row r="26" customFormat="false" ht="15" hidden="false" customHeight="true" outlineLevel="0" collapsed="false">
      <c r="A26" s="6" t="s">
        <v>75</v>
      </c>
      <c r="B26" s="7" t="n">
        <v>35.343</v>
      </c>
      <c r="C26" s="7" t="n">
        <v>417.902</v>
      </c>
      <c r="D26" s="7" t="n">
        <v>429.491</v>
      </c>
      <c r="E26" s="7" t="n">
        <v>430.611</v>
      </c>
      <c r="F26" s="8" t="n">
        <v>3</v>
      </c>
      <c r="G26" s="8" t="n">
        <v>0.3</v>
      </c>
      <c r="H26" s="8" t="n">
        <v>0.1</v>
      </c>
      <c r="I26" s="8" t="n">
        <v>0.1</v>
      </c>
      <c r="J26" s="8" t="n">
        <v>0.3</v>
      </c>
      <c r="K26" s="8" t="s">
        <v>53</v>
      </c>
      <c r="M26" s="7" t="n">
        <v>35.471</v>
      </c>
      <c r="N26" s="7" t="n">
        <v>418.598</v>
      </c>
      <c r="O26" s="8" t="n">
        <v>0.2</v>
      </c>
      <c r="P26" s="8" t="n">
        <v>0.2</v>
      </c>
      <c r="Q26" s="8" t="n">
        <v>0.4</v>
      </c>
      <c r="R26" s="8" t="n">
        <v>0.2</v>
      </c>
    </row>
    <row r="27" customFormat="false" ht="15" hidden="false" customHeight="true" outlineLevel="0" collapsed="false">
      <c r="A27" s="6" t="s">
        <v>76</v>
      </c>
      <c r="B27" s="7" t="n">
        <v>7.735</v>
      </c>
      <c r="C27" s="7" t="n">
        <v>436.981</v>
      </c>
      <c r="D27" s="7" t="n">
        <v>447.963</v>
      </c>
      <c r="E27" s="7" t="n">
        <v>448.997</v>
      </c>
      <c r="F27" s="8" t="n">
        <v>2.7</v>
      </c>
      <c r="G27" s="8" t="n">
        <v>0.2</v>
      </c>
      <c r="H27" s="8" t="n">
        <v>0.1</v>
      </c>
      <c r="I27" s="8" t="n">
        <v>0.3</v>
      </c>
      <c r="J27" s="8" t="n">
        <v>0.2</v>
      </c>
      <c r="K27" s="8" t="s">
        <v>53</v>
      </c>
      <c r="M27" s="7" t="n">
        <v>7.456</v>
      </c>
      <c r="N27" s="7" t="n">
        <v>438.212</v>
      </c>
      <c r="O27" s="8" t="n">
        <v>0.3</v>
      </c>
      <c r="P27" s="8" t="n">
        <v>0.3</v>
      </c>
      <c r="Q27" s="8" t="n">
        <v>0.3</v>
      </c>
      <c r="R27" s="8" t="n">
        <v>0.2</v>
      </c>
    </row>
    <row r="28" customFormat="false" ht="15" hidden="false" customHeight="true" outlineLevel="0" collapsed="false">
      <c r="A28" s="6" t="s">
        <v>77</v>
      </c>
      <c r="B28" s="7" t="n">
        <v>25.918</v>
      </c>
      <c r="C28" s="7" t="n">
        <v>430.387</v>
      </c>
      <c r="D28" s="7" t="n">
        <v>442.503</v>
      </c>
      <c r="E28" s="7" t="n">
        <v>443.642</v>
      </c>
      <c r="F28" s="8" t="n">
        <v>3.1</v>
      </c>
      <c r="G28" s="8" t="n">
        <v>0.3</v>
      </c>
      <c r="H28" s="8" t="n">
        <v>0.2</v>
      </c>
      <c r="I28" s="8" t="n">
        <v>0.3</v>
      </c>
      <c r="J28" s="8" t="n">
        <v>0.2</v>
      </c>
      <c r="K28" s="8" t="s">
        <v>53</v>
      </c>
      <c r="M28" s="7" t="n">
        <v>26.231</v>
      </c>
      <c r="N28" s="7" t="n">
        <v>431.245</v>
      </c>
      <c r="O28" s="8" t="n">
        <v>0.2</v>
      </c>
      <c r="P28" s="8" t="n">
        <v>0.3</v>
      </c>
      <c r="Q28" s="8" t="n">
        <v>0.4</v>
      </c>
      <c r="R28" s="8" t="n">
        <v>0.1</v>
      </c>
    </row>
    <row r="29" customFormat="false" ht="15" hidden="false" customHeight="true" outlineLevel="0" collapsed="false">
      <c r="A29" s="6" t="s">
        <v>78</v>
      </c>
      <c r="B29" s="7" t="n">
        <v>6.864</v>
      </c>
      <c r="C29" s="7" t="n">
        <v>637.817</v>
      </c>
      <c r="D29" s="7" t="n">
        <v>654.347</v>
      </c>
      <c r="E29" s="7" t="n">
        <v>653.623</v>
      </c>
      <c r="F29" s="8" t="n">
        <v>2.5</v>
      </c>
      <c r="G29" s="8" t="n">
        <v>-0.1</v>
      </c>
      <c r="H29" s="8" t="n">
        <v>-0.1</v>
      </c>
      <c r="I29" s="8" t="n">
        <v>0.6</v>
      </c>
      <c r="J29" s="8" t="n">
        <v>-0.2</v>
      </c>
      <c r="K29" s="8" t="s">
        <v>53</v>
      </c>
      <c r="M29" s="7" t="n">
        <v>6.765</v>
      </c>
      <c r="N29" s="7" t="n">
        <v>639.215</v>
      </c>
      <c r="O29" s="8" t="n">
        <v>0.2</v>
      </c>
      <c r="P29" s="8" t="n">
        <v>0.8</v>
      </c>
      <c r="Q29" s="8" t="n">
        <v>-0.1</v>
      </c>
      <c r="R29" s="8" t="n">
        <v>0.3</v>
      </c>
    </row>
    <row r="30" customFormat="false" ht="15" hidden="false" customHeight="true" outlineLevel="0" collapsed="false">
      <c r="A30" s="6" t="s">
        <v>79</v>
      </c>
      <c r="B30" s="7" t="n">
        <v>1.663</v>
      </c>
      <c r="C30" s="7" t="n">
        <v>430.753</v>
      </c>
      <c r="D30" s="7" t="n">
        <v>439.443</v>
      </c>
      <c r="E30" s="7" t="n">
        <v>439.389</v>
      </c>
      <c r="F30" s="8" t="n">
        <v>2</v>
      </c>
      <c r="G30" s="8" t="n">
        <v>0</v>
      </c>
      <c r="H30" s="8" t="n">
        <v>-0.2</v>
      </c>
      <c r="I30" s="8" t="n">
        <v>0.2</v>
      </c>
      <c r="J30" s="8" t="n">
        <v>0</v>
      </c>
      <c r="K30" s="8" t="s">
        <v>57</v>
      </c>
      <c r="M30" s="7" t="n">
        <v>1.805</v>
      </c>
      <c r="N30" s="7" t="n">
        <v>430.246</v>
      </c>
      <c r="O30" s="8" t="n">
        <v>-0.1</v>
      </c>
      <c r="P30" s="8" t="n">
        <v>0.2</v>
      </c>
      <c r="Q30" s="8" t="n">
        <v>0.3</v>
      </c>
      <c r="R30" s="8" t="n">
        <v>-0.1</v>
      </c>
    </row>
    <row r="31" customFormat="false" ht="15" hidden="false" customHeight="true" outlineLevel="0" collapsed="false">
      <c r="A31" s="6" t="s">
        <v>80</v>
      </c>
      <c r="B31" s="7" t="n">
        <v>2.168</v>
      </c>
      <c r="C31" s="7" t="n">
        <v>436.917</v>
      </c>
      <c r="D31" s="7" t="n">
        <v>459.82</v>
      </c>
      <c r="E31" s="7" t="n">
        <v>459.659</v>
      </c>
      <c r="F31" s="8" t="n">
        <v>5.2</v>
      </c>
      <c r="G31" s="8" t="n">
        <v>0</v>
      </c>
      <c r="H31" s="8" t="n">
        <v>0.1</v>
      </c>
      <c r="I31" s="8" t="n">
        <v>0.5</v>
      </c>
      <c r="J31" s="8" t="n">
        <v>0</v>
      </c>
      <c r="K31" s="8" t="s">
        <v>57</v>
      </c>
      <c r="M31" s="7" t="n">
        <v>1.965</v>
      </c>
      <c r="N31" s="7" t="n">
        <v>438.31</v>
      </c>
      <c r="O31" s="8" t="n">
        <v>0.3</v>
      </c>
      <c r="P31" s="8" t="n">
        <v>0.5</v>
      </c>
      <c r="Q31" s="8" t="n">
        <v>0</v>
      </c>
      <c r="R31" s="8" t="n">
        <v>0.3</v>
      </c>
    </row>
    <row r="32" customFormat="false" ht="15" hidden="false" customHeight="true" outlineLevel="0" collapsed="false">
      <c r="A32" s="6" t="s">
        <v>81</v>
      </c>
      <c r="B32" s="7" t="n">
        <v>6.31</v>
      </c>
      <c r="C32" s="7" t="n">
        <v>446.688</v>
      </c>
      <c r="D32" s="7" t="n">
        <v>459.354</v>
      </c>
      <c r="E32" s="7" t="n">
        <v>457.262</v>
      </c>
      <c r="F32" s="8" t="n">
        <v>2.4</v>
      </c>
      <c r="G32" s="8" t="n">
        <v>-0.5</v>
      </c>
      <c r="H32" s="8" t="n">
        <v>-0.3</v>
      </c>
      <c r="I32" s="8" t="n">
        <v>0.3</v>
      </c>
      <c r="J32" s="8" t="n">
        <v>0.5</v>
      </c>
      <c r="K32" s="8" t="s">
        <v>53</v>
      </c>
      <c r="M32" s="7" t="n">
        <v>6.243</v>
      </c>
      <c r="N32" s="7" t="n">
        <v>447.451</v>
      </c>
      <c r="O32" s="8" t="n">
        <v>0.2</v>
      </c>
      <c r="P32" s="8" t="n">
        <v>0.8</v>
      </c>
      <c r="Q32" s="8" t="n">
        <v>1</v>
      </c>
      <c r="R32" s="8" t="n">
        <v>0.3</v>
      </c>
    </row>
    <row r="33" customFormat="false" ht="15" hidden="false" customHeight="true" outlineLevel="0" collapsed="false">
      <c r="A33" s="6" t="s">
        <v>82</v>
      </c>
      <c r="B33" s="7" t="n">
        <v>1.055</v>
      </c>
      <c r="C33" s="7" t="n">
        <v>441.987</v>
      </c>
      <c r="D33" s="7" t="n">
        <v>460.185</v>
      </c>
      <c r="E33" s="7" t="n">
        <v>465.136</v>
      </c>
      <c r="F33" s="8" t="n">
        <v>5.2</v>
      </c>
      <c r="G33" s="8" t="n">
        <v>1.1</v>
      </c>
      <c r="H33" s="8" t="n">
        <v>1.1</v>
      </c>
      <c r="I33" s="8" t="n">
        <v>0.6</v>
      </c>
      <c r="J33" s="8" t="n">
        <v>1.1</v>
      </c>
      <c r="K33" s="8" t="s">
        <v>57</v>
      </c>
      <c r="M33" s="7" t="n">
        <v>1.052</v>
      </c>
      <c r="N33" s="7" t="n">
        <v>442.843</v>
      </c>
      <c r="O33" s="8" t="n">
        <v>0.2</v>
      </c>
      <c r="P33" s="8" t="n">
        <v>1</v>
      </c>
      <c r="Q33" s="8" t="n">
        <v>2.4</v>
      </c>
      <c r="R33" s="8" t="n">
        <v>0.2</v>
      </c>
    </row>
    <row r="34" customFormat="false" ht="15" hidden="false" customHeight="true" outlineLevel="0" collapsed="false">
      <c r="A34" s="6" t="s">
        <v>83</v>
      </c>
      <c r="B34" s="7" t="n">
        <v>2.563</v>
      </c>
      <c r="C34" s="7" t="n">
        <v>894.075</v>
      </c>
      <c r="D34" s="7" t="n">
        <v>856.08</v>
      </c>
      <c r="E34" s="7" t="n">
        <v>848.231</v>
      </c>
      <c r="F34" s="8" t="n">
        <v>-5.1</v>
      </c>
      <c r="G34" s="8" t="n">
        <v>-0.9</v>
      </c>
      <c r="H34" s="8" t="n">
        <v>-2</v>
      </c>
      <c r="I34" s="8" t="n">
        <v>-0.3</v>
      </c>
      <c r="J34" s="8" t="n">
        <v>-0.8</v>
      </c>
      <c r="K34" s="8" t="s">
        <v>53</v>
      </c>
      <c r="M34" s="7" t="n">
        <v>2.804</v>
      </c>
      <c r="N34" s="7" t="n">
        <v>890.473</v>
      </c>
      <c r="O34" s="8" t="n">
        <v>-0.4</v>
      </c>
      <c r="P34" s="8" t="n">
        <v>0.1</v>
      </c>
      <c r="Q34" s="8" t="n">
        <v>0</v>
      </c>
      <c r="R34" s="8" t="n">
        <v>-0.4</v>
      </c>
    </row>
    <row r="35" customFormat="false" ht="15" hidden="false" customHeight="true" outlineLevel="0" collapsed="false">
      <c r="A35" s="6" t="s">
        <v>84</v>
      </c>
      <c r="B35" s="7" t="n">
        <v>1.049</v>
      </c>
      <c r="C35" s="7" t="n">
        <v>250.982</v>
      </c>
      <c r="D35" s="7" t="n">
        <v>311.176</v>
      </c>
      <c r="E35" s="7" t="n">
        <v>309.736</v>
      </c>
      <c r="F35" s="8" t="n">
        <v>23.4</v>
      </c>
      <c r="G35" s="8" t="n">
        <v>-0.5</v>
      </c>
      <c r="H35" s="8" t="n">
        <v>0.2</v>
      </c>
      <c r="I35" s="8" t="n">
        <v>2.2</v>
      </c>
      <c r="J35" s="8" t="n">
        <v>2.7</v>
      </c>
      <c r="K35" s="8" t="s">
        <v>53</v>
      </c>
      <c r="M35" s="7" t="n">
        <v>0.855</v>
      </c>
      <c r="N35" s="7" t="n">
        <v>258.027</v>
      </c>
      <c r="O35" s="8" t="n">
        <v>2.8</v>
      </c>
      <c r="P35" s="8" t="n">
        <v>4</v>
      </c>
      <c r="Q35" s="8" t="n">
        <v>5.9</v>
      </c>
      <c r="R35" s="8" t="n">
        <v>2.7</v>
      </c>
    </row>
    <row r="37" customFormat="false" ht="15" hidden="false" customHeight="true" outlineLevel="0" collapsed="false">
      <c r="A37" s="3" t="s">
        <v>85</v>
      </c>
    </row>
    <row r="38" customFormat="false" ht="15" hidden="false" customHeight="true" outlineLevel="0" collapsed="false">
      <c r="A38" s="3" t="s">
        <v>86</v>
      </c>
    </row>
    <row r="39" customFormat="false" ht="15" hidden="false" customHeight="true" outlineLevel="0" collapsed="false">
      <c r="A39" s="3" t="s">
        <v>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3" min="2" style="1" width="11"/>
    <col collapsed="false" customWidth="true" hidden="false" outlineLevel="0" max="6" min="4" style="1" width="12"/>
    <col collapsed="false" customWidth="true" hidden="false" outlineLevel="0" max="9" min="7" style="1" width="11"/>
    <col collapsed="false" customWidth="true" hidden="false" outlineLevel="0" max="11" min="10" style="1" width="13"/>
    <col collapsed="false" customWidth="true" hidden="false" outlineLevel="0" max="12" min="12" style="1" width="12"/>
    <col collapsed="false" customWidth="true" hidden="false" outlineLevel="0" max="13" min="13" style="1" width="4"/>
    <col collapsed="false" customWidth="true" hidden="false" outlineLevel="0" max="14" min="14" style="1" width="50"/>
  </cols>
  <sheetData>
    <row r="1" customFormat="false" ht="17.25" hidden="false" customHeight="true" outlineLevel="0" collapsed="false">
      <c r="A1" s="2" t="s">
        <v>88</v>
      </c>
    </row>
    <row r="2" customFormat="false" ht="15" hidden="false" customHeight="true" outlineLevel="0" collapsed="false">
      <c r="A2" s="3" t="s">
        <v>89</v>
      </c>
    </row>
    <row r="4" customFormat="false" ht="15" hidden="false" customHeight="true" outlineLevel="0" collapsed="false">
      <c r="A4" s="1" t="s">
        <v>90</v>
      </c>
      <c r="B4" s="9" t="n">
        <f aca="false">Data!E5</f>
        <v>334.98</v>
      </c>
    </row>
    <row r="5" customFormat="false" ht="15" hidden="false" customHeight="true" outlineLevel="0" collapsed="false">
      <c r="A5" s="1" t="s">
        <v>91</v>
      </c>
      <c r="B5" s="9" t="n">
        <f aca="false">Data!N5</f>
        <v>324.8</v>
      </c>
    </row>
    <row r="6" customFormat="false" ht="15" hidden="false" customHeight="true" outlineLevel="0" collapsed="false">
      <c r="A6" s="1" t="s">
        <v>92</v>
      </c>
      <c r="B6" s="9" t="n">
        <f aca="false">Data!E17</f>
        <v>338.041</v>
      </c>
    </row>
    <row r="7" customFormat="false" ht="15" hidden="false" customHeight="true" outlineLevel="0" collapsed="false">
      <c r="A7" s="1" t="s">
        <v>93</v>
      </c>
      <c r="B7" s="9" t="n">
        <f aca="false">Data!N17</f>
        <v>330.804</v>
      </c>
    </row>
    <row r="8" customFormat="false" ht="15" hidden="false" customHeight="true" outlineLevel="0" collapsed="false">
      <c r="A8" s="1" t="s">
        <v>94</v>
      </c>
      <c r="B8" s="10" t="n">
        <f aca="false">B4/Data!D5-1</f>
        <v>0.00318042154061771</v>
      </c>
    </row>
    <row r="9" customFormat="false" ht="15" hidden="false" customHeight="true" outlineLevel="0" collapsed="false">
      <c r="A9" s="1" t="s">
        <v>95</v>
      </c>
      <c r="B9" s="11" t="n">
        <v>0.04</v>
      </c>
    </row>
    <row r="10" customFormat="false" ht="15" hidden="false" customHeight="true" outlineLevel="0" collapsed="false">
      <c r="A10" s="1" t="s">
        <v>96</v>
      </c>
      <c r="B10" s="11" t="n">
        <v>0.05</v>
      </c>
    </row>
    <row r="12" customFormat="false" ht="34.5" hidden="false" customHeight="true" outlineLevel="0" collapsed="false">
      <c r="A12" s="5" t="s">
        <v>97</v>
      </c>
      <c r="B12" s="5" t="s">
        <v>36</v>
      </c>
      <c r="C12" s="5" t="s">
        <v>98</v>
      </c>
      <c r="D12" s="5" t="s">
        <v>99</v>
      </c>
      <c r="E12" s="5" t="s">
        <v>100</v>
      </c>
      <c r="F12" s="5" t="s">
        <v>101</v>
      </c>
      <c r="G12" s="5" t="s">
        <v>102</v>
      </c>
      <c r="H12" s="5" t="s">
        <v>103</v>
      </c>
      <c r="I12" s="5" t="s">
        <v>104</v>
      </c>
      <c r="J12" s="5" t="s">
        <v>105</v>
      </c>
      <c r="K12" s="5" t="s">
        <v>106</v>
      </c>
      <c r="L12" s="5" t="s">
        <v>107</v>
      </c>
      <c r="M12" s="5"/>
      <c r="N12" s="5" t="s">
        <v>108</v>
      </c>
    </row>
    <row r="13" customFormat="false" ht="21.75" hidden="false" customHeight="true" outlineLevel="0" collapsed="false">
      <c r="A13" s="6" t="s">
        <v>55</v>
      </c>
      <c r="B13" s="12" t="n">
        <f aca="false">Data!B7</f>
        <v>8.232</v>
      </c>
      <c r="C13" s="13" t="n">
        <f aca="false">Data!E7/Data!D7-1</f>
        <v>-0.000444592296427904</v>
      </c>
      <c r="D13" s="14" t="n">
        <f aca="false">(1+C13)/(1+$B$8)</f>
        <v>0.996386478683985</v>
      </c>
      <c r="E13" s="15" t="n">
        <f aca="false">B13*D13</f>
        <v>8.20225349252657</v>
      </c>
      <c r="F13" s="16" t="n">
        <v>0.45</v>
      </c>
      <c r="G13" s="16" t="n">
        <v>0.25</v>
      </c>
      <c r="H13" s="16" t="n">
        <v>-0.05</v>
      </c>
      <c r="I13" s="17" t="n">
        <f aca="false">F13+H13</f>
        <v>0.4</v>
      </c>
      <c r="J13" s="14" t="n">
        <f aca="false">E13*F13/100</f>
        <v>0.0369101407163696</v>
      </c>
      <c r="K13" s="14" t="n">
        <f aca="false">E13*I13/100</f>
        <v>0.0328090139701063</v>
      </c>
      <c r="L13" s="18" t="n">
        <f aca="false">(E13*G13/100)^2</f>
        <v>0.000420481014722902</v>
      </c>
      <c r="M13" s="3" t="s">
        <v>109</v>
      </c>
      <c r="N13" s="19" t="s">
        <v>110</v>
      </c>
    </row>
    <row r="14" customFormat="false" ht="21.75" hidden="false" customHeight="true" outlineLevel="0" collapsed="false">
      <c r="A14" s="6" t="s">
        <v>56</v>
      </c>
      <c r="B14" s="12" t="n">
        <f aca="false">Data!B8</f>
        <v>5.307</v>
      </c>
      <c r="C14" s="13" t="n">
        <f aca="false">Data!E8/Data!D8-1</f>
        <v>0.00254246470408881</v>
      </c>
      <c r="D14" s="14" t="n">
        <f aca="false">(1+C14)/(1+$B$8)</f>
        <v>0.999364065702609</v>
      </c>
      <c r="E14" s="15" t="n">
        <f aca="false">B14*D14</f>
        <v>5.30362509668375</v>
      </c>
      <c r="F14" s="16" t="n">
        <v>0.3</v>
      </c>
      <c r="G14" s="16" t="n">
        <v>0.1</v>
      </c>
      <c r="H14" s="16" t="n">
        <v>0</v>
      </c>
      <c r="I14" s="17" t="n">
        <f aca="false">F14+H14</f>
        <v>0.3</v>
      </c>
      <c r="J14" s="14" t="n">
        <f aca="false">E14*F14/100</f>
        <v>0.0159108752900512</v>
      </c>
      <c r="K14" s="14" t="n">
        <f aca="false">E14*I14/100</f>
        <v>0.0159108752900512</v>
      </c>
      <c r="L14" s="18" t="n">
        <f aca="false">(E14*G14/100)^2</f>
        <v>2.81284391661737E-005</v>
      </c>
      <c r="M14" s="3" t="s">
        <v>109</v>
      </c>
      <c r="N14" s="19" t="s">
        <v>111</v>
      </c>
    </row>
    <row r="15" customFormat="false" ht="74.25" hidden="false" customHeight="true" outlineLevel="0" collapsed="false">
      <c r="A15" s="6" t="s">
        <v>62</v>
      </c>
      <c r="B15" s="12" t="n">
        <f aca="false">Data!B13</f>
        <v>3.77</v>
      </c>
      <c r="C15" s="13" t="n">
        <f aca="false">Data!E13/Data!D13-1</f>
        <v>0.0253444531218825</v>
      </c>
      <c r="D15" s="14" t="n">
        <f aca="false">(1+C15)/(1+$B$8)</f>
        <v>1.02209376409801</v>
      </c>
      <c r="E15" s="15" t="n">
        <f aca="false">B15*D15</f>
        <v>3.85329349064951</v>
      </c>
      <c r="F15" s="16" t="n">
        <v>7.2</v>
      </c>
      <c r="G15" s="16" t="n">
        <v>0.6</v>
      </c>
      <c r="H15" s="16" t="n">
        <v>2.42</v>
      </c>
      <c r="I15" s="17" t="n">
        <f aca="false">F15+H15</f>
        <v>9.62</v>
      </c>
      <c r="J15" s="14" t="n">
        <f aca="false">E15*F15/100</f>
        <v>0.277437131326765</v>
      </c>
      <c r="K15" s="14" t="n">
        <f aca="false">E15*I15/100</f>
        <v>0.370686833800483</v>
      </c>
      <c r="L15" s="18" t="n">
        <f aca="false">(E15*G15/100)^2</f>
        <v>0.000534523346102949</v>
      </c>
      <c r="M15" s="3" t="s">
        <v>112</v>
      </c>
      <c r="N15" s="19" t="s">
        <v>113</v>
      </c>
    </row>
    <row r="16" customFormat="false" ht="21.75" hidden="false" customHeight="true" outlineLevel="0" collapsed="false">
      <c r="A16" s="6" t="s">
        <v>114</v>
      </c>
      <c r="B16" s="12" t="n">
        <f aca="false">Data!B12-Data!B13</f>
        <v>0.112</v>
      </c>
      <c r="C16" s="13" t="n">
        <f aca="false">Data!E12/Data!D12-1</f>
        <v>0.0273817689172566</v>
      </c>
      <c r="D16" s="14" t="n">
        <f aca="false">(1+C16)/(1+$B$8)</f>
        <v>1.02412462091263</v>
      </c>
      <c r="E16" s="15" t="n">
        <f aca="false">B16*D16</f>
        <v>0.114701957542215</v>
      </c>
      <c r="F16" s="16" t="n">
        <v>5</v>
      </c>
      <c r="G16" s="16" t="n">
        <v>1.5</v>
      </c>
      <c r="H16" s="16" t="n">
        <v>2.4</v>
      </c>
      <c r="I16" s="17" t="n">
        <f aca="false">F16+H16</f>
        <v>7.4</v>
      </c>
      <c r="J16" s="14" t="n">
        <f aca="false">E16*F16/100</f>
        <v>0.00573509787711073</v>
      </c>
      <c r="K16" s="14" t="n">
        <f aca="false">E16*I16/100</f>
        <v>0.00848794485812388</v>
      </c>
      <c r="L16" s="18" t="n">
        <f aca="false">(E16*G16/100)^2</f>
        <v>2.9602212894036E-006</v>
      </c>
      <c r="M16" s="3" t="s">
        <v>112</v>
      </c>
      <c r="N16" s="19" t="s">
        <v>115</v>
      </c>
    </row>
    <row r="17" customFormat="false" ht="21.75" hidden="false" customHeight="true" outlineLevel="0" collapsed="false">
      <c r="A17" s="6" t="s">
        <v>116</v>
      </c>
      <c r="B17" s="12" t="n">
        <f aca="false">Data!B11+0.055</f>
        <v>0.162</v>
      </c>
      <c r="C17" s="13" t="n">
        <f aca="false">Data!E11/Data!D11-1</f>
        <v>0.0782581725952543</v>
      </c>
      <c r="D17" s="14" t="n">
        <f aca="false">(1+C17)/(1+$B$8)</f>
        <v>1.0748397291679</v>
      </c>
      <c r="E17" s="15" t="n">
        <f aca="false">B17*D17</f>
        <v>0.174124036125199</v>
      </c>
      <c r="F17" s="16" t="n">
        <v>4</v>
      </c>
      <c r="G17" s="16" t="n">
        <v>2</v>
      </c>
      <c r="H17" s="16" t="n">
        <v>-0.05</v>
      </c>
      <c r="I17" s="17" t="n">
        <f aca="false">F17+H17</f>
        <v>3.95</v>
      </c>
      <c r="J17" s="14" t="n">
        <f aca="false">E17*F17/100</f>
        <v>0.00696496144500797</v>
      </c>
      <c r="K17" s="14" t="n">
        <f aca="false">E17*I17/100</f>
        <v>0.00687789942694537</v>
      </c>
      <c r="L17" s="18" t="n">
        <f aca="false">(E17*G17/100)^2</f>
        <v>1.21276719826119E-005</v>
      </c>
      <c r="M17" s="3" t="s">
        <v>112</v>
      </c>
      <c r="N17" s="19" t="s">
        <v>117</v>
      </c>
    </row>
    <row r="18" customFormat="false" ht="21.75" hidden="false" customHeight="true" outlineLevel="0" collapsed="false">
      <c r="A18" s="6" t="s">
        <v>64</v>
      </c>
      <c r="B18" s="12" t="n">
        <f aca="false">Data!B15</f>
        <v>2.551</v>
      </c>
      <c r="C18" s="13" t="n">
        <f aca="false">Data!E15/Data!D15-1</f>
        <v>-0.0051817295105111</v>
      </c>
      <c r="D18" s="14" t="n">
        <f aca="false">(1+C18)/(1+$B$8)</f>
        <v>0.991664359798523</v>
      </c>
      <c r="E18" s="15" t="n">
        <f aca="false">B18*D18</f>
        <v>2.52973578184603</v>
      </c>
      <c r="F18" s="16" t="n">
        <v>-0.5</v>
      </c>
      <c r="G18" s="16" t="n">
        <v>0.4</v>
      </c>
      <c r="H18" s="16" t="n">
        <v>0.31</v>
      </c>
      <c r="I18" s="17" t="n">
        <f aca="false">F18+H18</f>
        <v>-0.19</v>
      </c>
      <c r="J18" s="14" t="n">
        <f aca="false">E18*F18/100</f>
        <v>-0.0126486789092302</v>
      </c>
      <c r="K18" s="14" t="n">
        <f aca="false">E18*I18/100</f>
        <v>-0.00480649798550746</v>
      </c>
      <c r="L18" s="18" t="n">
        <f aca="false">(E18*G18/100)^2</f>
        <v>0.000102393010015234</v>
      </c>
      <c r="M18" s="3" t="s">
        <v>112</v>
      </c>
      <c r="N18" s="19" t="s">
        <v>118</v>
      </c>
    </row>
    <row r="19" customFormat="false" ht="15" hidden="false" customHeight="true" outlineLevel="0" collapsed="false">
      <c r="A19" s="6" t="s">
        <v>65</v>
      </c>
      <c r="B19" s="12" t="n">
        <f aca="false">Data!B16</f>
        <v>0.752</v>
      </c>
      <c r="C19" s="13" t="n">
        <f aca="false">Data!E16/Data!D16-1</f>
        <v>-0.00948330662939279</v>
      </c>
      <c r="D19" s="14" t="n">
        <f aca="false">(1+C19)/(1+$B$8)</f>
        <v>0.987376420135311</v>
      </c>
      <c r="E19" s="15" t="n">
        <f aca="false">B19*D19</f>
        <v>0.742507067941754</v>
      </c>
      <c r="F19" s="16" t="n">
        <v>-1</v>
      </c>
      <c r="G19" s="16" t="n">
        <v>0.8</v>
      </c>
      <c r="H19" s="16" t="n">
        <v>0.51</v>
      </c>
      <c r="I19" s="17" t="n">
        <f aca="false">F19+H19</f>
        <v>-0.49</v>
      </c>
      <c r="J19" s="14" t="n">
        <f aca="false">E19*F19/100</f>
        <v>-0.00742507067941754</v>
      </c>
      <c r="K19" s="14" t="n">
        <f aca="false">E19*I19/100</f>
        <v>-0.00363828463291459</v>
      </c>
      <c r="L19" s="18" t="n">
        <f aca="false">(E19*G19/100)^2</f>
        <v>3.52842717403815E-005</v>
      </c>
      <c r="M19" s="3" t="s">
        <v>112</v>
      </c>
      <c r="N19" s="19" t="s">
        <v>119</v>
      </c>
    </row>
    <row r="20" customFormat="false" ht="32.25" hidden="false" customHeight="true" outlineLevel="0" collapsed="false">
      <c r="A20" s="6" t="s">
        <v>68</v>
      </c>
      <c r="B20" s="12" t="n">
        <f aca="false">Data!B19</f>
        <v>2.406</v>
      </c>
      <c r="C20" s="13" t="n">
        <f aca="false">Data!E19/Data!D19-1</f>
        <v>0.0191530905784683</v>
      </c>
      <c r="D20" s="14" t="n">
        <f aca="false">(1+C20)/(1+$B$8)</f>
        <v>1.01592203026981</v>
      </c>
      <c r="E20" s="15" t="n">
        <f aca="false">B20*D20</f>
        <v>2.44430840482916</v>
      </c>
      <c r="F20" s="16" t="n">
        <v>2.1</v>
      </c>
      <c r="G20" s="16" t="n">
        <v>0.7</v>
      </c>
      <c r="H20" s="16" t="n">
        <v>-2.1</v>
      </c>
      <c r="I20" s="17" t="n">
        <f aca="false">F20+H20</f>
        <v>0</v>
      </c>
      <c r="J20" s="14" t="n">
        <f aca="false">E20*F20/100</f>
        <v>0.0513304765014124</v>
      </c>
      <c r="K20" s="14" t="n">
        <f aca="false">E20*I20/100</f>
        <v>0</v>
      </c>
      <c r="L20" s="18" t="n">
        <f aca="false">(E20*G20/100)^2</f>
        <v>0.000292757535318006</v>
      </c>
      <c r="M20" s="3" t="s">
        <v>120</v>
      </c>
      <c r="N20" s="19" t="s">
        <v>121</v>
      </c>
    </row>
    <row r="21" customFormat="false" ht="21.75" hidden="false" customHeight="true" outlineLevel="0" collapsed="false">
      <c r="A21" s="6" t="s">
        <v>69</v>
      </c>
      <c r="B21" s="12" t="n">
        <f aca="false">Data!B20</f>
        <v>3.756</v>
      </c>
      <c r="C21" s="13" t="n">
        <f aca="false">Data!E20/Data!D20-1</f>
        <v>0.000969137968486411</v>
      </c>
      <c r="D21" s="14" t="n">
        <f aca="false">(1+C21)/(1+$B$8)</f>
        <v>0.997795726945373</v>
      </c>
      <c r="E21" s="15" t="n">
        <f aca="false">B21*D21</f>
        <v>3.74772075040682</v>
      </c>
      <c r="F21" s="16" t="n">
        <v>0.1</v>
      </c>
      <c r="G21" s="16" t="n">
        <v>0.2</v>
      </c>
      <c r="H21" s="16" t="n">
        <v>0.12</v>
      </c>
      <c r="I21" s="17" t="n">
        <f aca="false">F21+H21</f>
        <v>0.22</v>
      </c>
      <c r="J21" s="14" t="n">
        <f aca="false">E21*F21/100</f>
        <v>0.00374772075040682</v>
      </c>
      <c r="K21" s="14" t="n">
        <f aca="false">E21*I21/100</f>
        <v>0.00824498565089501</v>
      </c>
      <c r="L21" s="18" t="n">
        <f aca="false">(E21*G21/100)^2</f>
        <v>5.61816432921195E-005</v>
      </c>
      <c r="M21" s="3" t="s">
        <v>120</v>
      </c>
      <c r="N21" s="19" t="s">
        <v>122</v>
      </c>
    </row>
    <row r="22" customFormat="false" ht="32.25" hidden="false" customHeight="true" outlineLevel="0" collapsed="false">
      <c r="A22" s="6" t="s">
        <v>70</v>
      </c>
      <c r="B22" s="12" t="n">
        <f aca="false">Data!B21</f>
        <v>2.698</v>
      </c>
      <c r="C22" s="13" t="n">
        <f aca="false">Data!E21/Data!D21-1</f>
        <v>-0.000438641618966562</v>
      </c>
      <c r="D22" s="14" t="n">
        <f aca="false">(1+C22)/(1+$B$8)</f>
        <v>0.996392410495785</v>
      </c>
      <c r="E22" s="15" t="n">
        <f aca="false">B22*D22</f>
        <v>2.68826672351763</v>
      </c>
      <c r="F22" s="16" t="n">
        <v>-1.2</v>
      </c>
      <c r="G22" s="16" t="n">
        <v>0.6</v>
      </c>
      <c r="H22" s="16" t="n">
        <v>0.77</v>
      </c>
      <c r="I22" s="17" t="n">
        <f aca="false">F22+H22</f>
        <v>-0.43</v>
      </c>
      <c r="J22" s="14" t="n">
        <f aca="false">E22*F22/100</f>
        <v>-0.0322592006822115</v>
      </c>
      <c r="K22" s="14" t="n">
        <f aca="false">E22*I22/100</f>
        <v>-0.0115595469111258</v>
      </c>
      <c r="L22" s="18" t="n">
        <f aca="false">(E22*G22/100)^2</f>
        <v>0.000260164007163799</v>
      </c>
      <c r="M22" s="3" t="s">
        <v>120</v>
      </c>
      <c r="N22" s="19" t="s">
        <v>123</v>
      </c>
    </row>
    <row r="23" customFormat="false" ht="15" hidden="false" customHeight="true" outlineLevel="0" collapsed="false">
      <c r="A23" s="6" t="s">
        <v>71</v>
      </c>
      <c r="B23" s="12" t="n">
        <f aca="false">Data!B22</f>
        <v>1.403</v>
      </c>
      <c r="C23" s="13" t="n">
        <f aca="false">Data!E22/Data!D22-1</f>
        <v>-0.00229787778439305</v>
      </c>
      <c r="D23" s="14" t="n">
        <f aca="false">(1+C23)/(1+$B$8)</f>
        <v>0.994539068738406</v>
      </c>
      <c r="E23" s="15" t="n">
        <f aca="false">B23*D23</f>
        <v>1.39533831343998</v>
      </c>
      <c r="F23" s="16" t="n">
        <v>-0.2</v>
      </c>
      <c r="G23" s="16" t="n">
        <v>0.4</v>
      </c>
      <c r="H23" s="16" t="n">
        <v>0</v>
      </c>
      <c r="I23" s="17" t="n">
        <f aca="false">F23+H23</f>
        <v>-0.2</v>
      </c>
      <c r="J23" s="14" t="n">
        <f aca="false">E23*F23/100</f>
        <v>-0.00279067662687997</v>
      </c>
      <c r="K23" s="14" t="n">
        <f aca="false">E23*I23/100</f>
        <v>-0.00279067662687997</v>
      </c>
      <c r="L23" s="18" t="n">
        <f aca="false">(E23*G23/100)^2</f>
        <v>3.11515041432566E-005</v>
      </c>
      <c r="M23" s="3" t="s">
        <v>120</v>
      </c>
      <c r="N23" s="19" t="s">
        <v>124</v>
      </c>
    </row>
    <row r="24" customFormat="false" ht="15" hidden="false" customHeight="true" outlineLevel="0" collapsed="false">
      <c r="A24" s="6" t="s">
        <v>72</v>
      </c>
      <c r="B24" s="12" t="n">
        <f aca="false">Data!B23</f>
        <v>0.825</v>
      </c>
      <c r="C24" s="13" t="n">
        <f aca="false">Data!E23/Data!D23-1</f>
        <v>0.00118460216281147</v>
      </c>
      <c r="D24" s="14" t="n">
        <f aca="false">(1+C24)/(1+$B$8)</f>
        <v>0.998010508045262</v>
      </c>
      <c r="E24" s="15" t="n">
        <f aca="false">B24*D24</f>
        <v>0.823358669137341</v>
      </c>
      <c r="F24" s="16" t="n">
        <v>0.2</v>
      </c>
      <c r="G24" s="16" t="n">
        <v>0.2</v>
      </c>
      <c r="H24" s="16" t="n">
        <v>-0.05</v>
      </c>
      <c r="I24" s="17" t="n">
        <f aca="false">F24+H24</f>
        <v>0.15</v>
      </c>
      <c r="J24" s="14" t="n">
        <f aca="false">E24*F24/100</f>
        <v>0.00164671733827468</v>
      </c>
      <c r="K24" s="14" t="n">
        <f aca="false">E24*I24/100</f>
        <v>0.00123503800370601</v>
      </c>
      <c r="L24" s="18" t="n">
        <f aca="false">(E24*G24/100)^2</f>
        <v>2.71167799217445E-006</v>
      </c>
      <c r="M24" s="3" t="s">
        <v>120</v>
      </c>
      <c r="N24" s="19" t="s">
        <v>125</v>
      </c>
    </row>
    <row r="25" customFormat="false" ht="15" hidden="false" customHeight="true" outlineLevel="0" collapsed="false">
      <c r="A25" s="6" t="s">
        <v>73</v>
      </c>
      <c r="B25" s="12" t="n">
        <f aca="false">Data!B24</f>
        <v>0.448</v>
      </c>
      <c r="C25" s="13" t="n">
        <f aca="false">Data!E24/Data!D24-1</f>
        <v>0.00636568318067132</v>
      </c>
      <c r="D25" s="14" t="n">
        <f aca="false">(1+C25)/(1+$B$8)</f>
        <v>1.00317516328236</v>
      </c>
      <c r="E25" s="15" t="n">
        <f aca="false">B25*D25</f>
        <v>0.449422473150495</v>
      </c>
      <c r="F25" s="16" t="n">
        <v>0.5</v>
      </c>
      <c r="G25" s="16" t="n">
        <v>0.4</v>
      </c>
      <c r="H25" s="16" t="n">
        <v>0</v>
      </c>
      <c r="I25" s="17" t="n">
        <f aca="false">F25+H25</f>
        <v>0.5</v>
      </c>
      <c r="J25" s="14" t="n">
        <f aca="false">E25*F25/100</f>
        <v>0.00224711236575248</v>
      </c>
      <c r="K25" s="14" t="n">
        <f aca="false">E25*I25/100</f>
        <v>0.00224711236575248</v>
      </c>
      <c r="L25" s="18" t="n">
        <f aca="false">(E25*G25/100)^2</f>
        <v>3.23168894996332E-006</v>
      </c>
      <c r="M25" s="3" t="s">
        <v>120</v>
      </c>
      <c r="N25" s="19" t="s">
        <v>126</v>
      </c>
    </row>
    <row r="26" customFormat="false" ht="21.75" hidden="false" customHeight="true" outlineLevel="0" collapsed="false">
      <c r="A26" s="6" t="s">
        <v>76</v>
      </c>
      <c r="B26" s="12" t="n">
        <f aca="false">Data!B27</f>
        <v>7.735</v>
      </c>
      <c r="C26" s="13" t="n">
        <f aca="false">Data!E27/Data!D27-1</f>
        <v>0.00230822634905103</v>
      </c>
      <c r="D26" s="14" t="n">
        <f aca="false">(1+C26)/(1+$B$8)</f>
        <v>0.999130569962453</v>
      </c>
      <c r="E26" s="15" t="n">
        <f aca="false">B26*D26</f>
        <v>7.72827495865957</v>
      </c>
      <c r="F26" s="16" t="n">
        <v>0.35</v>
      </c>
      <c r="G26" s="16" t="n">
        <v>0.1</v>
      </c>
      <c r="H26" s="16" t="n">
        <v>-0.07</v>
      </c>
      <c r="I26" s="17" t="n">
        <f aca="false">F26+H26</f>
        <v>0.28</v>
      </c>
      <c r="J26" s="14" t="n">
        <f aca="false">E26*F26/100</f>
        <v>0.0270489623553085</v>
      </c>
      <c r="K26" s="14" t="n">
        <f aca="false">E26*I26/100</f>
        <v>0.0216391698842468</v>
      </c>
      <c r="L26" s="18" t="n">
        <f aca="false">(E26*G26/100)^2</f>
        <v>5.97262338366446E-005</v>
      </c>
      <c r="M26" s="3" t="s">
        <v>127</v>
      </c>
      <c r="N26" s="19" t="s">
        <v>128</v>
      </c>
    </row>
    <row r="27" customFormat="false" ht="32.25" hidden="false" customHeight="true" outlineLevel="0" collapsed="false">
      <c r="A27" s="6" t="s">
        <v>129</v>
      </c>
      <c r="B27" s="12" t="n">
        <f aca="false">Data!B28</f>
        <v>25.918</v>
      </c>
      <c r="C27" s="13" t="n">
        <f aca="false">Data!E28/Data!D28-1</f>
        <v>0.00257399384862933</v>
      </c>
      <c r="D27" s="14" t="n">
        <f aca="false">(1+C27)/(1+$B$8)</f>
        <v>0.999395494889088</v>
      </c>
      <c r="E27" s="15" t="n">
        <f aca="false">B27*D27</f>
        <v>25.9023324365354</v>
      </c>
      <c r="F27" s="16" t="n">
        <v>0.34</v>
      </c>
      <c r="G27" s="16" t="n">
        <v>0.08</v>
      </c>
      <c r="H27" s="16" t="n">
        <v>-0.04</v>
      </c>
      <c r="I27" s="17" t="n">
        <f aca="false">F27+H27</f>
        <v>0.3</v>
      </c>
      <c r="J27" s="14" t="n">
        <f aca="false">E27*F27/100</f>
        <v>0.0880679302842203</v>
      </c>
      <c r="K27" s="14" t="n">
        <f aca="false">E27*I27/100</f>
        <v>0.0777069973096061</v>
      </c>
      <c r="L27" s="18" t="n">
        <f aca="false">(E27*G27/100)^2</f>
        <v>0.000429395728417787</v>
      </c>
      <c r="M27" s="3" t="s">
        <v>127</v>
      </c>
      <c r="N27" s="19" t="s">
        <v>130</v>
      </c>
    </row>
    <row r="28" customFormat="false" ht="32.25" hidden="false" customHeight="true" outlineLevel="0" collapsed="false">
      <c r="A28" s="6" t="s">
        <v>131</v>
      </c>
      <c r="B28" s="12" t="n">
        <f aca="false">Data!B26-Data!B27-Data!B28</f>
        <v>1.69</v>
      </c>
      <c r="C28" s="13" t="n">
        <f aca="false">Data!E26/Data!D26-1</f>
        <v>0.00260773799683811</v>
      </c>
      <c r="D28" s="14" t="n">
        <f aca="false">(1+C28)/(1+$B$8)</f>
        <v>0.999429132056923</v>
      </c>
      <c r="E28" s="15" t="n">
        <f aca="false">B28*D28</f>
        <v>1.68903523317621</v>
      </c>
      <c r="F28" s="16" t="n">
        <v>-2.3</v>
      </c>
      <c r="G28" s="16" t="n">
        <v>1.8</v>
      </c>
      <c r="H28" s="16" t="n">
        <v>2.9</v>
      </c>
      <c r="I28" s="17" t="n">
        <f aca="false">F28+H28</f>
        <v>0.6</v>
      </c>
      <c r="J28" s="14" t="n">
        <f aca="false">E28*F28/100</f>
        <v>-0.0388478103630527</v>
      </c>
      <c r="K28" s="14" t="n">
        <f aca="false">E28*I28/100</f>
        <v>0.0101342113990572</v>
      </c>
      <c r="L28" s="18" t="n">
        <f aca="false">(E28*G28/100)^2</f>
        <v>0.000924320166127034</v>
      </c>
      <c r="M28" s="3" t="s">
        <v>127</v>
      </c>
      <c r="N28" s="19" t="s">
        <v>132</v>
      </c>
    </row>
    <row r="29" customFormat="false" ht="15" hidden="false" customHeight="true" outlineLevel="0" collapsed="false">
      <c r="A29" s="6" t="s">
        <v>78</v>
      </c>
      <c r="B29" s="12" t="n">
        <f aca="false">Data!B29</f>
        <v>6.864</v>
      </c>
      <c r="C29" s="13" t="n">
        <f aca="false">Data!E29/Data!D29-1</f>
        <v>-0.00110644657956704</v>
      </c>
      <c r="D29" s="14" t="n">
        <f aca="false">(1+C29)/(1+$B$8)</f>
        <v>0.99572672270298</v>
      </c>
      <c r="E29" s="15" t="n">
        <f aca="false">B29*D29</f>
        <v>6.83466822463325</v>
      </c>
      <c r="F29" s="16" t="n">
        <v>0.2</v>
      </c>
      <c r="G29" s="16" t="n">
        <v>0.3</v>
      </c>
      <c r="H29" s="16" t="n">
        <v>0.02</v>
      </c>
      <c r="I29" s="17" t="n">
        <f aca="false">F29+H29</f>
        <v>0.22</v>
      </c>
      <c r="J29" s="14" t="n">
        <f aca="false">E29*F29/100</f>
        <v>0.0136693364492665</v>
      </c>
      <c r="K29" s="14" t="n">
        <f aca="false">E29*I29/100</f>
        <v>0.0150362700941932</v>
      </c>
      <c r="L29" s="18" t="n">
        <f aca="false">(E29*G29/100)^2</f>
        <v>0.000420414207667303</v>
      </c>
      <c r="M29" s="3" t="s">
        <v>127</v>
      </c>
      <c r="N29" s="19" t="s">
        <v>133</v>
      </c>
    </row>
    <row r="30" customFormat="false" ht="21.75" hidden="false" customHeight="true" outlineLevel="0" collapsed="false">
      <c r="A30" s="6" t="s">
        <v>83</v>
      </c>
      <c r="B30" s="12" t="n">
        <f aca="false">Data!B34</f>
        <v>2.563</v>
      </c>
      <c r="C30" s="13" t="n">
        <f aca="false">Data!E34/Data!D34-1</f>
        <v>-0.00916853565087383</v>
      </c>
      <c r="D30" s="14" t="n">
        <f aca="false">(1+C30)/(1+$B$8)</f>
        <v>0.987690193183269</v>
      </c>
      <c r="E30" s="15" t="n">
        <f aca="false">B30*D30</f>
        <v>2.53144996512872</v>
      </c>
      <c r="F30" s="16" t="n">
        <v>-0.8</v>
      </c>
      <c r="G30" s="16" t="n">
        <v>0.5</v>
      </c>
      <c r="H30" s="16" t="n">
        <v>0.32</v>
      </c>
      <c r="I30" s="17" t="n">
        <f aca="false">F30+H30</f>
        <v>-0.48</v>
      </c>
      <c r="J30" s="14" t="n">
        <f aca="false">E30*F30/100</f>
        <v>-0.0202515997210298</v>
      </c>
      <c r="K30" s="14" t="n">
        <f aca="false">E30*I30/100</f>
        <v>-0.0121509598326179</v>
      </c>
      <c r="L30" s="18" t="n">
        <f aca="false">(E30*G30/100)^2</f>
        <v>0.000160205973148755</v>
      </c>
      <c r="M30" s="3" t="s">
        <v>127</v>
      </c>
      <c r="N30" s="19" t="s">
        <v>134</v>
      </c>
    </row>
    <row r="31" customFormat="false" ht="21.75" hidden="false" customHeight="true" outlineLevel="0" collapsed="false">
      <c r="A31" s="6" t="s">
        <v>84</v>
      </c>
      <c r="B31" s="12" t="n">
        <f aca="false">Data!B35</f>
        <v>1.049</v>
      </c>
      <c r="C31" s="13" t="n">
        <f aca="false">Data!E35/Data!D35-1</f>
        <v>-0.00462760624212666</v>
      </c>
      <c r="D31" s="14" t="n">
        <f aca="false">(1+C31)/(1+$B$8)</f>
        <v>0.99221672630856</v>
      </c>
      <c r="E31" s="15" t="n">
        <f aca="false">B31*D31</f>
        <v>1.04083534589768</v>
      </c>
      <c r="F31" s="16" t="n">
        <v>2.3</v>
      </c>
      <c r="G31" s="16" t="n">
        <v>2</v>
      </c>
      <c r="H31" s="16" t="n">
        <v>-0.83</v>
      </c>
      <c r="I31" s="17" t="n">
        <f aca="false">F31+H31</f>
        <v>1.47</v>
      </c>
      <c r="J31" s="14" t="n">
        <f aca="false">E31*F31/100</f>
        <v>0.0239392129556466</v>
      </c>
      <c r="K31" s="14" t="n">
        <f aca="false">E31*I31/100</f>
        <v>0.0153002795846959</v>
      </c>
      <c r="L31" s="18" t="n">
        <f aca="false">(E31*G31/100)^2</f>
        <v>0.000433335286907977</v>
      </c>
      <c r="M31" s="3" t="s">
        <v>127</v>
      </c>
      <c r="N31" s="19" t="s">
        <v>135</v>
      </c>
    </row>
    <row r="32" customFormat="false" ht="15" hidden="false" customHeight="true" outlineLevel="0" collapsed="false">
      <c r="A32" s="6" t="s">
        <v>136</v>
      </c>
      <c r="B32" s="12" t="n">
        <f aca="false">Data!B33</f>
        <v>1.055</v>
      </c>
      <c r="C32" s="13" t="n">
        <f aca="false">Data!E33/Data!D33-1</f>
        <v>0.0107587166031053</v>
      </c>
      <c r="D32" s="14" t="n">
        <f aca="false">(1+C32)/(1+$B$8)</f>
        <v>1.00755426930168</v>
      </c>
      <c r="E32" s="15" t="n">
        <f aca="false">B32*D32</f>
        <v>1.06296975411327</v>
      </c>
      <c r="F32" s="16" t="n">
        <v>0.4</v>
      </c>
      <c r="G32" s="16" t="n">
        <v>0.4</v>
      </c>
      <c r="H32" s="16" t="n">
        <v>0</v>
      </c>
      <c r="I32" s="17" t="n">
        <f aca="false">F32+H32</f>
        <v>0.4</v>
      </c>
      <c r="J32" s="14" t="n">
        <f aca="false">E32*F32/100</f>
        <v>0.00425187901645308</v>
      </c>
      <c r="K32" s="14" t="n">
        <f aca="false">E32*I32/100</f>
        <v>0.00425187901645308</v>
      </c>
      <c r="L32" s="18" t="n">
        <f aca="false">(E32*G32/100)^2</f>
        <v>1.8078475170554E-005</v>
      </c>
      <c r="M32" s="3" t="s">
        <v>127</v>
      </c>
      <c r="N32" s="19" t="s">
        <v>137</v>
      </c>
    </row>
    <row r="33" customFormat="false" ht="21.75" hidden="false" customHeight="true" outlineLevel="0" collapsed="false">
      <c r="A33" s="6" t="s">
        <v>138</v>
      </c>
      <c r="B33" s="12" t="n">
        <f aca="false">Data!B32-Data!B33-Data!B34-Data!B35</f>
        <v>1.643</v>
      </c>
      <c r="C33" s="13" t="n">
        <f aca="false">Data!E32/Data!D32-1</f>
        <v>-0.00455422179843867</v>
      </c>
      <c r="D33" s="14" t="n">
        <f aca="false">(1+C33)/(1+$B$8)</f>
        <v>0.992289878098719</v>
      </c>
      <c r="E33" s="15" t="n">
        <f aca="false">B33*D33</f>
        <v>1.6303322697162</v>
      </c>
      <c r="F33" s="16" t="n">
        <v>0</v>
      </c>
      <c r="G33" s="16" t="n">
        <v>0.5</v>
      </c>
      <c r="H33" s="16" t="n">
        <v>0.3</v>
      </c>
      <c r="I33" s="17" t="n">
        <f aca="false">F33+H33</f>
        <v>0.3</v>
      </c>
      <c r="J33" s="14" t="n">
        <f aca="false">E33*F33/100</f>
        <v>0</v>
      </c>
      <c r="K33" s="14" t="n">
        <f aca="false">E33*I33/100</f>
        <v>0.00489099680914859</v>
      </c>
      <c r="L33" s="18" t="n">
        <f aca="false">(E33*G33/100)^2</f>
        <v>6.6449582741949E-005</v>
      </c>
      <c r="M33" s="3" t="s">
        <v>127</v>
      </c>
      <c r="N33" s="19" t="s">
        <v>139</v>
      </c>
    </row>
    <row r="34" customFormat="false" ht="32.25" hidden="false" customHeight="true" outlineLevel="0" collapsed="false">
      <c r="A34" s="6" t="s">
        <v>140</v>
      </c>
      <c r="B34" s="12" t="n">
        <v>4.245</v>
      </c>
      <c r="C34" s="13" t="n">
        <v>-0.001</v>
      </c>
      <c r="D34" s="14" t="n">
        <f aca="false">(1+C34)/(1+$B$8)</f>
        <v>0.995832831810855</v>
      </c>
      <c r="E34" s="15" t="n">
        <f aca="false">B34*D34</f>
        <v>4.22731037103708</v>
      </c>
      <c r="F34" s="16" t="n">
        <v>0.13</v>
      </c>
      <c r="G34" s="16" t="n">
        <v>0.3</v>
      </c>
      <c r="H34" s="16" t="n">
        <v>-0.18</v>
      </c>
      <c r="I34" s="17" t="n">
        <f aca="false">F34+H34</f>
        <v>-0.05</v>
      </c>
      <c r="J34" s="14" t="n">
        <f aca="false">E34*F34/100</f>
        <v>0.0054955034823482</v>
      </c>
      <c r="K34" s="14" t="n">
        <f aca="false">E34*I34/100</f>
        <v>-0.00211365518551854</v>
      </c>
      <c r="L34" s="18" t="n">
        <f aca="false">(E34*G34/100)^2</f>
        <v>0.000160831376757699</v>
      </c>
      <c r="M34" s="3" t="s">
        <v>120</v>
      </c>
      <c r="N34" s="19" t="s">
        <v>141</v>
      </c>
    </row>
    <row r="35" customFormat="false" ht="21.75" hidden="false" customHeight="true" outlineLevel="0" collapsed="false">
      <c r="A35" s="6" t="s">
        <v>142</v>
      </c>
      <c r="B35" s="12" t="n">
        <v>5.081</v>
      </c>
      <c r="C35" s="13" t="n">
        <v>-0.0004</v>
      </c>
      <c r="D35" s="14" t="n">
        <f aca="false">(1+C35)/(1+$B$8)</f>
        <v>0.996430929607738</v>
      </c>
      <c r="E35" s="15" t="n">
        <f aca="false">B35*D35</f>
        <v>5.06286555333692</v>
      </c>
      <c r="F35" s="16" t="n">
        <v>0.33</v>
      </c>
      <c r="G35" s="16" t="n">
        <v>0.3</v>
      </c>
      <c r="H35" s="16" t="n">
        <v>-0.08</v>
      </c>
      <c r="I35" s="17" t="n">
        <f aca="false">F35+H35</f>
        <v>0.25</v>
      </c>
      <c r="J35" s="14" t="n">
        <f aca="false">E35*F35/100</f>
        <v>0.0167074563260118</v>
      </c>
      <c r="K35" s="14" t="n">
        <f aca="false">E35*I35/100</f>
        <v>0.0126571638833423</v>
      </c>
      <c r="L35" s="18" t="n">
        <f aca="false">(E35*G35/100)^2</f>
        <v>0.00023069346850049</v>
      </c>
      <c r="M35" s="3" t="s">
        <v>127</v>
      </c>
      <c r="N35" s="19" t="s">
        <v>143</v>
      </c>
    </row>
    <row r="36" customFormat="false" ht="32.25" hidden="false" customHeight="true" outlineLevel="0" collapsed="false">
      <c r="A36" s="6" t="s">
        <v>144</v>
      </c>
      <c r="B36" s="12" t="n">
        <v>2.552</v>
      </c>
      <c r="C36" s="13" t="n">
        <v>0.0137</v>
      </c>
      <c r="D36" s="14" t="n">
        <f aca="false">(1+C36)/(1+$B$8)</f>
        <v>1.0104862278345</v>
      </c>
      <c r="E36" s="15" t="n">
        <f aca="false">B36*D36</f>
        <v>2.57876085343364</v>
      </c>
      <c r="F36" s="16" t="n">
        <v>0.98</v>
      </c>
      <c r="G36" s="16" t="n">
        <v>0.4</v>
      </c>
      <c r="H36" s="16" t="n">
        <v>-0.63</v>
      </c>
      <c r="I36" s="17" t="n">
        <f aca="false">F36+H36</f>
        <v>0.35</v>
      </c>
      <c r="J36" s="14" t="n">
        <f aca="false">E36*F36/100</f>
        <v>0.0252718563636497</v>
      </c>
      <c r="K36" s="14" t="n">
        <f aca="false">E36*I36/100</f>
        <v>0.00902566298701773</v>
      </c>
      <c r="L36" s="18" t="n">
        <f aca="false">(E36*G36/100)^2</f>
        <v>0.000106400120627229</v>
      </c>
      <c r="M36" s="3" t="s">
        <v>127</v>
      </c>
      <c r="N36" s="19" t="s">
        <v>145</v>
      </c>
    </row>
    <row r="37" customFormat="false" ht="32.25" hidden="false" customHeight="true" outlineLevel="0" collapsed="false">
      <c r="A37" s="6" t="s">
        <v>146</v>
      </c>
      <c r="B37" s="12" t="n">
        <v>3.164</v>
      </c>
      <c r="C37" s="13" t="n">
        <v>0.0233</v>
      </c>
      <c r="D37" s="14" t="n">
        <f aca="false">(1+C37)/(1+$B$8)</f>
        <v>1.02005579258463</v>
      </c>
      <c r="E37" s="15" t="n">
        <f aca="false">B37*D37</f>
        <v>3.22745652773778</v>
      </c>
      <c r="F37" s="16" t="n">
        <v>0</v>
      </c>
      <c r="G37" s="16" t="n">
        <v>0.6</v>
      </c>
      <c r="H37" s="16" t="n">
        <v>0.4</v>
      </c>
      <c r="I37" s="17" t="n">
        <f aca="false">F37+H37</f>
        <v>0.4</v>
      </c>
      <c r="J37" s="14" t="n">
        <f aca="false">E37*F37/100</f>
        <v>0</v>
      </c>
      <c r="K37" s="14" t="n">
        <f aca="false">E37*I37/100</f>
        <v>0.0129098261109511</v>
      </c>
      <c r="L37" s="18" t="n">
        <f aca="false">(E37*G37/100)^2</f>
        <v>0.000374993122983739</v>
      </c>
      <c r="M37" s="3" t="s">
        <v>127</v>
      </c>
      <c r="N37" s="19" t="s">
        <v>147</v>
      </c>
    </row>
    <row r="38" customFormat="false" ht="21.75" hidden="false" customHeight="true" outlineLevel="0" collapsed="false">
      <c r="A38" s="6" t="s">
        <v>148</v>
      </c>
      <c r="B38" s="12" t="n">
        <v>2.907</v>
      </c>
      <c r="C38" s="13" t="n">
        <v>0.0009</v>
      </c>
      <c r="D38" s="14" t="n">
        <f aca="false">(1+C38)/(1+$B$8)</f>
        <v>0.997726808167652</v>
      </c>
      <c r="E38" s="15" t="n">
        <f aca="false">B38*D38</f>
        <v>2.90039183134336</v>
      </c>
      <c r="F38" s="16" t="n">
        <v>0.36</v>
      </c>
      <c r="G38" s="16" t="n">
        <v>0.3</v>
      </c>
      <c r="H38" s="16" t="n">
        <v>-0.01</v>
      </c>
      <c r="I38" s="17" t="n">
        <f aca="false">F38+H38</f>
        <v>0.35</v>
      </c>
      <c r="J38" s="14" t="n">
        <f aca="false">E38*F38/100</f>
        <v>0.0104414105928361</v>
      </c>
      <c r="K38" s="14" t="n">
        <f aca="false">E38*I38/100</f>
        <v>0.0101513714097018</v>
      </c>
      <c r="L38" s="18" t="n">
        <f aca="false">(E38*G38/100)^2</f>
        <v>7.57104549779098E-005</v>
      </c>
      <c r="M38" s="3" t="s">
        <v>127</v>
      </c>
      <c r="N38" s="19" t="s">
        <v>149</v>
      </c>
    </row>
    <row r="39" customFormat="false" ht="32.25" hidden="false" customHeight="true" outlineLevel="0" collapsed="false">
      <c r="A39" s="6" t="s">
        <v>150</v>
      </c>
      <c r="B39" s="12" t="n">
        <f aca="false">Data!B18+Data!B25-Data!B19-Data!B20-Data!B21-Data!B22-Data!B23-Data!B24-Data!B26-Data!B29-Data!B32-4.245-5.081-2.552-3.164-2.907</f>
        <v>1.112</v>
      </c>
      <c r="C39" s="13" t="n">
        <f aca="false">Data!E18/Data!D18-1</f>
        <v>0.00283739411820694</v>
      </c>
      <c r="D39" s="14" t="n">
        <f aca="false">(1+C39)/(1+$B$8)</f>
        <v>0.999658060090643</v>
      </c>
      <c r="E39" s="15" t="n">
        <f aca="false">B39*D39</f>
        <v>1.11161976282079</v>
      </c>
      <c r="F39" s="16" t="n">
        <v>0.3</v>
      </c>
      <c r="G39" s="16" t="n">
        <v>0.3</v>
      </c>
      <c r="H39" s="16" t="n">
        <v>0</v>
      </c>
      <c r="I39" s="17" t="n">
        <f aca="false">F39+H39</f>
        <v>0.3</v>
      </c>
      <c r="J39" s="14" t="n">
        <f aca="false">E39*F39/100</f>
        <v>0.00333485928846238</v>
      </c>
      <c r="K39" s="14" t="n">
        <f aca="false">E39*I39/100</f>
        <v>0.00333485928846238</v>
      </c>
      <c r="L39" s="18" t="n">
        <f aca="false">(E39*G39/100)^2</f>
        <v>1.11212864738438E-005</v>
      </c>
      <c r="M39" s="3" t="s">
        <v>127</v>
      </c>
      <c r="N39" s="19" t="s">
        <v>151</v>
      </c>
    </row>
    <row r="40" customFormat="false" ht="15" hidden="false" customHeight="true" outlineLevel="0" collapsed="false">
      <c r="A40" s="4" t="s">
        <v>152</v>
      </c>
      <c r="B40" s="20" t="n">
        <f aca="false">SUM(B13:B39)</f>
        <v>100</v>
      </c>
      <c r="E40" s="20" t="n">
        <f aca="false">SUM(E13:E39)</f>
        <v>99.9969593453663</v>
      </c>
    </row>
    <row r="42" customFormat="false" ht="15" hidden="false" customHeight="true" outlineLevel="0" collapsed="false">
      <c r="A42" s="4" t="s">
        <v>153</v>
      </c>
    </row>
    <row r="43" customFormat="false" ht="15" hidden="false" customHeight="true" outlineLevel="0" collapsed="false">
      <c r="A43" s="3" t="s">
        <v>154</v>
      </c>
      <c r="B43" s="21" t="n">
        <f aca="false">SUM(J13:J39)/E40*100</f>
        <v>0.505950987965692</v>
      </c>
    </row>
    <row r="44" customFormat="false" ht="15" hidden="false" customHeight="true" outlineLevel="0" collapsed="false">
      <c r="A44" s="3" t="s">
        <v>155</v>
      </c>
      <c r="B44" s="21" t="n">
        <f aca="false">SUM(K13:K39)/E40*100</f>
        <v>0.606497211453939</v>
      </c>
    </row>
    <row r="45" customFormat="false" ht="15" hidden="false" customHeight="true" outlineLevel="0" collapsed="false">
      <c r="A45" s="3" t="s">
        <v>156</v>
      </c>
      <c r="B45" s="20" t="n">
        <f aca="false">B4*(1+B43/100)</f>
        <v>336.674834619487</v>
      </c>
    </row>
    <row r="46" customFormat="false" ht="15" hidden="false" customHeight="true" outlineLevel="0" collapsed="false">
      <c r="A46" s="3" t="s">
        <v>157</v>
      </c>
      <c r="B46" s="21" t="n">
        <f aca="false">(B45/B5-1)*100</f>
        <v>3.6560451414678</v>
      </c>
    </row>
    <row r="47" customFormat="false" ht="15" hidden="false" customHeight="true" outlineLevel="0" collapsed="false">
      <c r="A47" s="3" t="s">
        <v>158</v>
      </c>
      <c r="B47" s="22" t="n">
        <f aca="false">ROUND(B46,1)</f>
        <v>3.7</v>
      </c>
    </row>
    <row r="48" customFormat="false" ht="15" hidden="false" customHeight="true" outlineLevel="0" collapsed="false">
      <c r="A48" s="3" t="s">
        <v>159</v>
      </c>
      <c r="B48" s="20" t="n">
        <f aca="false">MIN(B46-(B47-0.05),(B47+0.05)-B46)</f>
        <v>0.00604514146780044</v>
      </c>
    </row>
    <row r="49" customFormat="false" ht="15" hidden="false" customHeight="true" outlineLevel="0" collapsed="false">
      <c r="A49" s="3" t="s">
        <v>160</v>
      </c>
      <c r="B49" s="20" t="n">
        <f aca="false">SQRT(SUM(L13:L39))</f>
        <v>0.072482904992956</v>
      </c>
    </row>
    <row r="50" customFormat="false" ht="15" hidden="false" customHeight="true" outlineLevel="0" collapsed="false">
      <c r="A50" s="3" t="s">
        <v>161</v>
      </c>
      <c r="B50" s="23" t="n">
        <f aca="false">SQRT(B49^2+B9^2+B10^2)</f>
        <v>0.0967148981089154</v>
      </c>
    </row>
    <row r="51" customFormat="false" ht="15" hidden="false" customHeight="true" outlineLevel="0" collapsed="false">
      <c r="A51" s="3" t="s">
        <v>162</v>
      </c>
      <c r="B51" s="20" t="n">
        <f aca="false">B50*B4/B5</f>
        <v>0.0997461717011222</v>
      </c>
    </row>
    <row r="52" customFormat="false" ht="15" hidden="false" customHeight="true" outlineLevel="0" collapsed="false">
      <c r="A52" s="3" t="s">
        <v>163</v>
      </c>
      <c r="B52" s="24" t="n">
        <f aca="false">NORMDIST(B47+0.05,B46,B51,TRUE())-NORMDIST(B47-0.05,B46,B51,TRUE())</f>
        <v>0.351051393834145</v>
      </c>
    </row>
    <row r="53" customFormat="false" ht="15" hidden="false" customHeight="true" outlineLevel="0" collapsed="false">
      <c r="A53" s="3"/>
    </row>
    <row r="54" customFormat="false" ht="15" hidden="false" customHeight="true" outlineLevel="0" collapsed="false">
      <c r="A54" s="4" t="s">
        <v>164</v>
      </c>
    </row>
    <row r="55" customFormat="false" ht="15" hidden="false" customHeight="true" outlineLevel="0" collapsed="false">
      <c r="A55" s="3" t="s">
        <v>165</v>
      </c>
      <c r="B55" s="20" t="n">
        <f aca="false">SUMIF(M13:M39,"G",E13:E39)+SUMIF(M13:M39,"S",E13:E39)</f>
        <v>79.0767184220513</v>
      </c>
    </row>
    <row r="56" customFormat="false" ht="15" hidden="false" customHeight="true" outlineLevel="0" collapsed="false">
      <c r="A56" s="3" t="s">
        <v>166</v>
      </c>
      <c r="B56" s="23" t="n">
        <f aca="false">(SUMIF(M13:M39,"G",J13:J39)+SUMIF(M13:M39,"S",J13:J39))/B55*100</f>
        <v>0.231485512208395</v>
      </c>
    </row>
    <row r="57" customFormat="false" ht="15" hidden="false" customHeight="true" outlineLevel="0" collapsed="false">
      <c r="A57" s="3" t="s">
        <v>167</v>
      </c>
      <c r="B57" s="21" t="n">
        <f aca="false">(SUMIF(M13:M39,"G",K13:K39)+SUMIF(M13:M39,"S",K13:K39))/B55*100</f>
        <v>0.227817983391241</v>
      </c>
    </row>
    <row r="58" customFormat="false" ht="15" hidden="false" customHeight="true" outlineLevel="0" collapsed="false">
      <c r="A58" s="3" t="s">
        <v>168</v>
      </c>
      <c r="B58" s="20" t="n">
        <f aca="false">B6*(1+B56/100)</f>
        <v>338.823515940324</v>
      </c>
    </row>
    <row r="59" customFormat="false" ht="15" hidden="false" customHeight="true" outlineLevel="0" collapsed="false">
      <c r="A59" s="3" t="s">
        <v>169</v>
      </c>
      <c r="B59" s="23" t="n">
        <f aca="false">(B58/B7-1)*100</f>
        <v>2.42424999102926</v>
      </c>
    </row>
    <row r="60" customFormat="false" ht="15" hidden="false" customHeight="true" outlineLevel="0" collapsed="false">
      <c r="A60" s="3" t="s">
        <v>170</v>
      </c>
      <c r="B60" s="25" t="n">
        <f aca="false">ROUND(B59,1)</f>
        <v>2.4</v>
      </c>
    </row>
    <row r="61" customFormat="false" ht="15" hidden="false" customHeight="true" outlineLevel="0" collapsed="false">
      <c r="A61" s="3" t="s">
        <v>171</v>
      </c>
      <c r="B61" s="20" t="n">
        <f aca="false">SQRT((SUMIF(M13:M39,"G",L13:L39)+SUMIF(M13:M39,"S",L13:L39))*(100/B55)^2+B10^2)</f>
        <v>0.0953168531252941</v>
      </c>
    </row>
    <row r="62" customFormat="false" ht="15" hidden="false" customHeight="true" outlineLevel="0" collapsed="false">
      <c r="A62" s="3"/>
    </row>
    <row r="63" customFormat="false" ht="15" hidden="false" customHeight="true" outlineLevel="0" collapsed="false">
      <c r="A63" s="4" t="s">
        <v>172</v>
      </c>
    </row>
    <row r="64" customFormat="false" ht="15" hidden="false" customHeight="true" outlineLevel="0" collapsed="false">
      <c r="A64" s="3" t="s">
        <v>173</v>
      </c>
      <c r="B64" s="26" t="n">
        <f aca="false">SUMIF(M13:M39,"E",K13:K39)/SUMIF(M13:M39,"E",E13:E39)*100</f>
        <v>5.09292476482034</v>
      </c>
    </row>
    <row r="65" customFormat="false" ht="15" hidden="false" customHeight="true" outlineLevel="0" collapsed="false">
      <c r="A65" s="3" t="s">
        <v>174</v>
      </c>
      <c r="B65" s="26" t="n">
        <f aca="false">SUMIF(M13:M39,"F",K13:K39)/SUMIF(M13:M39,"F",E13:E39)*100</f>
        <v>0.360730987905365</v>
      </c>
    </row>
    <row r="66" customFormat="false" ht="15" hidden="false" customHeight="true" outlineLevel="0" collapsed="false">
      <c r="A66" s="3" t="s">
        <v>175</v>
      </c>
      <c r="B66" s="26" t="n">
        <f aca="false">(K27+K28+K29)/(E27+E28+E29)*100</f>
        <v>0.298836261946024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30"/>
    <col collapsed="false" customWidth="true" hidden="false" outlineLevel="0" max="3" min="3" style="1" width="14"/>
    <col collapsed="false" customWidth="true" hidden="false" outlineLevel="0" max="4" min="4" style="1" width="6"/>
    <col collapsed="false" customWidth="true" hidden="false" outlineLevel="0" max="5" min="5" style="1" width="8"/>
    <col collapsed="false" customWidth="true" hidden="false" outlineLevel="0" max="6" min="6" style="1" width="9"/>
    <col collapsed="false" customWidth="true" hidden="false" outlineLevel="0" max="7" min="7" style="1" width="10"/>
    <col collapsed="false" customWidth="true" hidden="false" outlineLevel="0" max="8" min="8" style="1" width="9"/>
    <col collapsed="false" customWidth="true" hidden="false" outlineLevel="0" max="9" min="9" style="1" width="8"/>
    <col collapsed="false" customWidth="true" hidden="false" outlineLevel="0" max="10" min="10" style="1" width="46"/>
    <col collapsed="false" customWidth="true" hidden="false" outlineLevel="0" max="11" min="11" style="1" width="9"/>
    <col collapsed="false" customWidth="true" hidden="false" outlineLevel="0" max="12" min="12" style="1" width="12"/>
    <col collapsed="false" customWidth="true" hidden="false" outlineLevel="0" max="13" min="13" style="1" width="40"/>
  </cols>
  <sheetData>
    <row r="1" customFormat="false" ht="17.25" hidden="false" customHeight="true" outlineLevel="0" collapsed="false">
      <c r="A1" s="2" t="s">
        <v>176</v>
      </c>
    </row>
    <row r="2" customFormat="false" ht="39.75" hidden="false" customHeight="true" outlineLevel="0" collapsed="false">
      <c r="A2" s="27" t="s">
        <v>177</v>
      </c>
    </row>
    <row r="4" customFormat="false" ht="15" hidden="false" customHeight="true" outlineLevel="0" collapsed="false">
      <c r="A4" s="28" t="s">
        <v>178</v>
      </c>
      <c r="B4" s="28" t="s">
        <v>179</v>
      </c>
      <c r="C4" s="28" t="s">
        <v>180</v>
      </c>
      <c r="D4" s="28" t="s">
        <v>181</v>
      </c>
      <c r="E4" s="28" t="s">
        <v>182</v>
      </c>
      <c r="F4" s="28" t="s">
        <v>183</v>
      </c>
      <c r="G4" s="28" t="s">
        <v>184</v>
      </c>
      <c r="H4" s="28" t="s">
        <v>185</v>
      </c>
      <c r="I4" s="28" t="s">
        <v>186</v>
      </c>
      <c r="J4" s="28" t="s">
        <v>187</v>
      </c>
      <c r="K4" s="28" t="s">
        <v>188</v>
      </c>
      <c r="L4" s="28" t="s">
        <v>189</v>
      </c>
      <c r="M4" s="28" t="s">
        <v>190</v>
      </c>
    </row>
    <row r="5" customFormat="false" ht="48" hidden="false" customHeight="true" outlineLevel="0" collapsed="false">
      <c r="A5" s="29" t="s">
        <v>191</v>
      </c>
      <c r="B5" s="29" t="s">
        <v>192</v>
      </c>
      <c r="C5" s="29" t="s">
        <v>193</v>
      </c>
      <c r="D5" s="29" t="s">
        <v>194</v>
      </c>
      <c r="E5" s="30" t="n">
        <v>0.63</v>
      </c>
      <c r="F5" s="31" t="n">
        <v>0.929587705203604</v>
      </c>
      <c r="G5" s="32" t="n">
        <v>0.282087705203604</v>
      </c>
      <c r="H5" s="33" t="n">
        <v>2.24</v>
      </c>
      <c r="I5" s="30" t="n">
        <v>0.55</v>
      </c>
      <c r="J5" s="29" t="s">
        <v>195</v>
      </c>
      <c r="K5" s="34" t="n">
        <v>221.97</v>
      </c>
      <c r="L5" s="29" t="s">
        <v>196</v>
      </c>
      <c r="M5" s="35" t="s">
        <v>197</v>
      </c>
    </row>
    <row r="6" customFormat="false" ht="48" hidden="false" customHeight="true" outlineLevel="0" collapsed="false">
      <c r="A6" s="29" t="s">
        <v>191</v>
      </c>
      <c r="B6" s="29" t="s">
        <v>198</v>
      </c>
      <c r="C6" s="29" t="s">
        <v>199</v>
      </c>
      <c r="D6" s="29" t="s">
        <v>194</v>
      </c>
      <c r="E6" s="30" t="n">
        <v>0.45</v>
      </c>
      <c r="F6" s="31" t="n">
        <v>0.713499183067804</v>
      </c>
      <c r="G6" s="32" t="n">
        <v>0.245999183067804</v>
      </c>
      <c r="H6" s="33" t="n">
        <v>2.24</v>
      </c>
      <c r="I6" s="30" t="n">
        <v>0.55</v>
      </c>
      <c r="J6" s="29" t="s">
        <v>195</v>
      </c>
      <c r="K6" s="34" t="n">
        <v>1220.12</v>
      </c>
      <c r="L6" s="29" t="s">
        <v>196</v>
      </c>
      <c r="M6" s="35" t="s">
        <v>200</v>
      </c>
    </row>
    <row r="7" customFormat="false" ht="15" hidden="false" customHeight="true" outlineLevel="0" collapsed="false">
      <c r="A7" s="29" t="s">
        <v>191</v>
      </c>
      <c r="B7" s="29" t="s">
        <v>201</v>
      </c>
      <c r="C7" s="29" t="s">
        <v>202</v>
      </c>
      <c r="D7" s="29" t="s">
        <v>194</v>
      </c>
      <c r="E7" s="30" t="n">
        <v>0.76</v>
      </c>
      <c r="F7" s="31" t="n">
        <v>0.99138629955583</v>
      </c>
      <c r="G7" s="32" t="n">
        <v>0.21388629955583</v>
      </c>
      <c r="H7" s="33" t="n">
        <v>2.24</v>
      </c>
      <c r="I7" s="30" t="n">
        <v>0.55</v>
      </c>
      <c r="J7" s="29" t="s">
        <v>195</v>
      </c>
      <c r="K7" s="34" t="n">
        <v>409.81</v>
      </c>
      <c r="L7" s="29" t="s">
        <v>196</v>
      </c>
      <c r="M7" s="35"/>
    </row>
    <row r="8" customFormat="false" ht="48" hidden="false" customHeight="true" outlineLevel="0" collapsed="false">
      <c r="A8" s="29" t="s">
        <v>203</v>
      </c>
      <c r="B8" s="29" t="s">
        <v>204</v>
      </c>
      <c r="C8" s="29" t="s">
        <v>205</v>
      </c>
      <c r="D8" s="29" t="s">
        <v>206</v>
      </c>
      <c r="E8" s="30" t="n">
        <v>0.69</v>
      </c>
      <c r="F8" s="31" t="n">
        <v>0.879282952512251</v>
      </c>
      <c r="G8" s="32" t="n">
        <v>0.171782952512251</v>
      </c>
      <c r="H8" s="33" t="n">
        <v>3.99042521149589</v>
      </c>
      <c r="I8" s="30" t="n">
        <v>0.205244323120062</v>
      </c>
      <c r="J8" s="29" t="s">
        <v>207</v>
      </c>
      <c r="K8" s="34" t="n">
        <v>6677.98</v>
      </c>
      <c r="L8" s="29" t="s">
        <v>208</v>
      </c>
      <c r="M8" s="35" t="s">
        <v>209</v>
      </c>
    </row>
    <row r="9" customFormat="false" ht="48" hidden="false" customHeight="true" outlineLevel="0" collapsed="false">
      <c r="A9" s="29" t="s">
        <v>210</v>
      </c>
      <c r="B9" s="29" t="s">
        <v>211</v>
      </c>
      <c r="C9" s="29" t="s">
        <v>212</v>
      </c>
      <c r="D9" s="29" t="s">
        <v>206</v>
      </c>
      <c r="E9" s="30" t="n">
        <v>0.46</v>
      </c>
      <c r="F9" s="31" t="n">
        <v>0.642490047536641</v>
      </c>
      <c r="G9" s="32" t="n">
        <v>0.164990047536641</v>
      </c>
      <c r="H9" s="33" t="n">
        <v>3.94738528046565</v>
      </c>
      <c r="I9" s="30" t="n">
        <v>0.266719412289042</v>
      </c>
      <c r="J9" s="29" t="s">
        <v>213</v>
      </c>
      <c r="K9" s="34" t="n">
        <v>33603.32</v>
      </c>
      <c r="L9" s="29" t="s">
        <v>196</v>
      </c>
      <c r="M9" s="35" t="s">
        <v>214</v>
      </c>
    </row>
    <row r="10" customFormat="false" ht="48" hidden="false" customHeight="true" outlineLevel="0" collapsed="false">
      <c r="A10" s="29" t="s">
        <v>203</v>
      </c>
      <c r="B10" s="29" t="s">
        <v>215</v>
      </c>
      <c r="C10" s="29" t="s">
        <v>216</v>
      </c>
      <c r="D10" s="29" t="s">
        <v>206</v>
      </c>
      <c r="E10" s="30" t="n">
        <v>0.78</v>
      </c>
      <c r="F10" s="31" t="n">
        <v>0.951405216337516</v>
      </c>
      <c r="G10" s="32" t="n">
        <v>0.153905216337516</v>
      </c>
      <c r="H10" s="33" t="n">
        <v>3.99042521149589</v>
      </c>
      <c r="I10" s="30" t="n">
        <v>0.205244323120062</v>
      </c>
      <c r="J10" s="29" t="s">
        <v>207</v>
      </c>
      <c r="K10" s="34" t="n">
        <v>2174.47</v>
      </c>
      <c r="L10" s="29" t="s">
        <v>208</v>
      </c>
      <c r="M10" s="35" t="s">
        <v>217</v>
      </c>
    </row>
    <row r="11" customFormat="false" ht="15" hidden="false" customHeight="true" outlineLevel="0" collapsed="false">
      <c r="A11" s="29" t="s">
        <v>210</v>
      </c>
      <c r="B11" s="29" t="s">
        <v>218</v>
      </c>
      <c r="C11" s="29" t="s">
        <v>205</v>
      </c>
      <c r="D11" s="29" t="s">
        <v>206</v>
      </c>
      <c r="E11" s="30" t="n">
        <v>0.61</v>
      </c>
      <c r="F11" s="31" t="n">
        <v>0.770364693611371</v>
      </c>
      <c r="G11" s="32" t="n">
        <v>0.142864693611371</v>
      </c>
      <c r="H11" s="33" t="n">
        <v>3.94738528046565</v>
      </c>
      <c r="I11" s="30" t="n">
        <v>0.266719412289042</v>
      </c>
      <c r="J11" s="29" t="s">
        <v>213</v>
      </c>
      <c r="K11" s="34" t="n">
        <v>2336.45</v>
      </c>
      <c r="L11" s="29" t="s">
        <v>196</v>
      </c>
      <c r="M11" s="35"/>
    </row>
    <row r="12" customFormat="false" ht="15" hidden="false" customHeight="true" outlineLevel="0" collapsed="false">
      <c r="A12" s="29" t="s">
        <v>210</v>
      </c>
      <c r="B12" s="29" t="s">
        <v>219</v>
      </c>
      <c r="C12" s="29" t="s">
        <v>216</v>
      </c>
      <c r="D12" s="29" t="s">
        <v>206</v>
      </c>
      <c r="E12" s="30" t="n">
        <v>0.71</v>
      </c>
      <c r="F12" s="31" t="n">
        <v>0.867569274828689</v>
      </c>
      <c r="G12" s="32" t="n">
        <v>0.140069274828689</v>
      </c>
      <c r="H12" s="33" t="n">
        <v>3.94738528046565</v>
      </c>
      <c r="I12" s="30" t="n">
        <v>0.266719412289042</v>
      </c>
      <c r="J12" s="29" t="s">
        <v>213</v>
      </c>
      <c r="K12" s="34" t="n">
        <v>776.81</v>
      </c>
      <c r="L12" s="29" t="s">
        <v>196</v>
      </c>
      <c r="M12" s="35"/>
    </row>
    <row r="13" customFormat="false" ht="15" hidden="false" customHeight="true" outlineLevel="0" collapsed="false">
      <c r="A13" s="29" t="s">
        <v>203</v>
      </c>
      <c r="B13" s="29" t="s">
        <v>220</v>
      </c>
      <c r="C13" s="29" t="s">
        <v>221</v>
      </c>
      <c r="D13" s="29" t="s">
        <v>206</v>
      </c>
      <c r="E13" s="30" t="n">
        <v>0.23</v>
      </c>
      <c r="F13" s="31" t="n">
        <v>0.385807604156155</v>
      </c>
      <c r="G13" s="32" t="n">
        <v>0.138307604156155</v>
      </c>
      <c r="H13" s="33" t="n">
        <v>3.99042521149589</v>
      </c>
      <c r="I13" s="30" t="n">
        <v>0.205244323120062</v>
      </c>
      <c r="J13" s="29" t="s">
        <v>207</v>
      </c>
      <c r="K13" s="34" t="n">
        <v>30746.5</v>
      </c>
      <c r="L13" s="29" t="s">
        <v>208</v>
      </c>
      <c r="M13" s="35"/>
    </row>
    <row r="14" customFormat="false" ht="15" hidden="false" customHeight="true" outlineLevel="0" collapsed="false">
      <c r="A14" s="29" t="s">
        <v>222</v>
      </c>
      <c r="B14" s="29" t="s">
        <v>223</v>
      </c>
      <c r="C14" s="29" t="s">
        <v>224</v>
      </c>
      <c r="D14" s="29" t="s">
        <v>194</v>
      </c>
      <c r="E14" s="30" t="n">
        <v>0.73</v>
      </c>
      <c r="F14" s="31" t="n">
        <v>0.87933029629444</v>
      </c>
      <c r="G14" s="32" t="n">
        <v>0.13183029629444</v>
      </c>
      <c r="H14" s="33" t="n">
        <v>2.77425317313622</v>
      </c>
      <c r="I14" s="30" t="n">
        <v>0.15</v>
      </c>
      <c r="J14" s="29" t="s">
        <v>225</v>
      </c>
      <c r="K14" s="34" t="n">
        <v>1202.01</v>
      </c>
      <c r="L14" s="29" t="s">
        <v>196</v>
      </c>
      <c r="M14" s="35"/>
    </row>
    <row r="15" customFormat="false" ht="15" hidden="false" customHeight="true" outlineLevel="0" collapsed="false">
      <c r="A15" s="29" t="s">
        <v>226</v>
      </c>
      <c r="B15" s="29" t="s">
        <v>227</v>
      </c>
      <c r="C15" s="29" t="s">
        <v>199</v>
      </c>
      <c r="D15" s="29" t="s">
        <v>206</v>
      </c>
      <c r="E15" s="30" t="n">
        <v>0.84</v>
      </c>
      <c r="F15" s="31" t="n">
        <v>0.987754144088025</v>
      </c>
      <c r="G15" s="32" t="n">
        <v>0.130254144088025</v>
      </c>
      <c r="H15" s="33" t="n">
        <v>2.8199192162478</v>
      </c>
      <c r="I15" s="30" t="n">
        <v>0.12</v>
      </c>
      <c r="J15" s="29" t="s">
        <v>228</v>
      </c>
      <c r="K15" s="34" t="n">
        <v>3400.02</v>
      </c>
      <c r="L15" s="29" t="s">
        <v>208</v>
      </c>
      <c r="M15" s="35"/>
    </row>
    <row r="16" customFormat="false" ht="48" hidden="false" customHeight="true" outlineLevel="0" collapsed="false">
      <c r="A16" s="29" t="s">
        <v>229</v>
      </c>
      <c r="B16" s="29" t="s">
        <v>230</v>
      </c>
      <c r="C16" s="29" t="s">
        <v>231</v>
      </c>
      <c r="D16" s="29" t="s">
        <v>194</v>
      </c>
      <c r="E16" s="30" t="n">
        <v>0.54</v>
      </c>
      <c r="F16" s="31" t="n">
        <v>0.685874585957054</v>
      </c>
      <c r="G16" s="32" t="n">
        <v>0.128374585957054</v>
      </c>
      <c r="H16" s="33" t="n">
        <v>0.201580971097386</v>
      </c>
      <c r="I16" s="30" t="n">
        <v>0.1</v>
      </c>
      <c r="J16" s="29" t="s">
        <v>232</v>
      </c>
      <c r="K16" s="34" t="n">
        <v>45424.15</v>
      </c>
      <c r="L16" s="29" t="s">
        <v>233</v>
      </c>
      <c r="M16" s="35" t="s">
        <v>234</v>
      </c>
    </row>
    <row r="17" customFormat="false" ht="48" hidden="false" customHeight="true" outlineLevel="0" collapsed="false">
      <c r="A17" s="29" t="s">
        <v>203</v>
      </c>
      <c r="B17" s="29" t="s">
        <v>235</v>
      </c>
      <c r="C17" s="29" t="s">
        <v>212</v>
      </c>
      <c r="D17" s="29" t="s">
        <v>206</v>
      </c>
      <c r="E17" s="30" t="n">
        <v>0.61</v>
      </c>
      <c r="F17" s="31" t="n">
        <v>0.753071014694593</v>
      </c>
      <c r="G17" s="32" t="n">
        <v>0.125571014694593</v>
      </c>
      <c r="H17" s="33" t="n">
        <v>3.99042521149589</v>
      </c>
      <c r="I17" s="30" t="n">
        <v>0.205244323120062</v>
      </c>
      <c r="J17" s="29" t="s">
        <v>207</v>
      </c>
      <c r="K17" s="34" t="n">
        <v>51875.08</v>
      </c>
      <c r="L17" s="29" t="s">
        <v>208</v>
      </c>
      <c r="M17" s="35" t="s">
        <v>236</v>
      </c>
    </row>
    <row r="18" customFormat="false" ht="15" hidden="false" customHeight="true" outlineLevel="0" collapsed="false">
      <c r="A18" s="29" t="s">
        <v>222</v>
      </c>
      <c r="B18" s="29" t="s">
        <v>237</v>
      </c>
      <c r="C18" s="29" t="s">
        <v>199</v>
      </c>
      <c r="D18" s="29" t="s">
        <v>206</v>
      </c>
      <c r="E18" s="30" t="n">
        <v>0.79</v>
      </c>
      <c r="F18" s="31" t="n">
        <v>0.93254553932329</v>
      </c>
      <c r="G18" s="32" t="n">
        <v>0.12504553932329</v>
      </c>
      <c r="H18" s="33" t="n">
        <v>2.77425317313622</v>
      </c>
      <c r="I18" s="30" t="n">
        <v>0.15</v>
      </c>
      <c r="J18" s="29" t="s">
        <v>225</v>
      </c>
      <c r="K18" s="34" t="n">
        <v>7665.88</v>
      </c>
      <c r="L18" s="29" t="s">
        <v>196</v>
      </c>
      <c r="M18" s="35"/>
    </row>
    <row r="19" customFormat="false" ht="15" hidden="false" customHeight="true" outlineLevel="0" collapsed="false">
      <c r="A19" s="29" t="s">
        <v>210</v>
      </c>
      <c r="B19" s="29" t="s">
        <v>238</v>
      </c>
      <c r="C19" s="29" t="s">
        <v>239</v>
      </c>
      <c r="D19" s="29" t="s">
        <v>206</v>
      </c>
      <c r="E19" s="30" t="n">
        <v>0.83</v>
      </c>
      <c r="F19" s="31" t="n">
        <v>0.968897097429902</v>
      </c>
      <c r="G19" s="32" t="n">
        <v>0.121397097429902</v>
      </c>
      <c r="H19" s="33" t="n">
        <v>3.94738528046565</v>
      </c>
      <c r="I19" s="30" t="n">
        <v>0.266719412289042</v>
      </c>
      <c r="J19" s="29" t="s">
        <v>213</v>
      </c>
      <c r="K19" s="34" t="n">
        <v>3613.34</v>
      </c>
      <c r="L19" s="29" t="s">
        <v>196</v>
      </c>
      <c r="M19" s="35"/>
    </row>
    <row r="20" customFormat="false" ht="48" hidden="false" customHeight="true" outlineLevel="0" collapsed="false">
      <c r="A20" s="29" t="s">
        <v>240</v>
      </c>
      <c r="B20" s="29" t="s">
        <v>241</v>
      </c>
      <c r="C20" s="29" t="s">
        <v>242</v>
      </c>
      <c r="D20" s="29" t="s">
        <v>206</v>
      </c>
      <c r="E20" s="30" t="n">
        <v>0.44</v>
      </c>
      <c r="F20" s="31" t="n">
        <v>0.573612729641331</v>
      </c>
      <c r="G20" s="32" t="n">
        <v>0.116112729641331</v>
      </c>
      <c r="H20" s="33" t="n">
        <v>0.172269538500969</v>
      </c>
      <c r="I20" s="30" t="n">
        <v>0.12</v>
      </c>
      <c r="J20" s="29" t="s">
        <v>243</v>
      </c>
      <c r="K20" s="34" t="n">
        <v>27052.76</v>
      </c>
      <c r="L20" s="29" t="s">
        <v>233</v>
      </c>
      <c r="M20" s="35" t="s">
        <v>244</v>
      </c>
    </row>
    <row r="21" customFormat="false" ht="15" hidden="false" customHeight="true" outlineLevel="0" collapsed="false">
      <c r="A21" s="29" t="s">
        <v>222</v>
      </c>
      <c r="B21" s="29" t="s">
        <v>245</v>
      </c>
      <c r="C21" s="29" t="s">
        <v>246</v>
      </c>
      <c r="D21" s="29" t="s">
        <v>194</v>
      </c>
      <c r="E21" s="30" t="n">
        <v>0.56</v>
      </c>
      <c r="F21" s="31" t="n">
        <v>0.69321315298532</v>
      </c>
      <c r="G21" s="32" t="n">
        <v>0.11571315298532</v>
      </c>
      <c r="H21" s="33" t="n">
        <v>2.77425317313622</v>
      </c>
      <c r="I21" s="30" t="n">
        <v>0.15</v>
      </c>
      <c r="J21" s="29" t="s">
        <v>225</v>
      </c>
      <c r="K21" s="34" t="n">
        <v>2326.16</v>
      </c>
      <c r="L21" s="29" t="s">
        <v>196</v>
      </c>
      <c r="M21" s="35"/>
    </row>
    <row r="22" customFormat="false" ht="15" hidden="false" customHeight="true" outlineLevel="0" collapsed="false">
      <c r="A22" s="29" t="s">
        <v>229</v>
      </c>
      <c r="B22" s="29" t="s">
        <v>247</v>
      </c>
      <c r="C22" s="29" t="s">
        <v>248</v>
      </c>
      <c r="D22" s="29" t="s">
        <v>194</v>
      </c>
      <c r="E22" s="30" t="n">
        <v>0.8</v>
      </c>
      <c r="F22" s="31" t="n">
        <v>0.931120777340575</v>
      </c>
      <c r="G22" s="32" t="n">
        <v>0.113620777340575</v>
      </c>
      <c r="H22" s="33" t="n">
        <v>0.201580971097386</v>
      </c>
      <c r="I22" s="30" t="n">
        <v>0.1</v>
      </c>
      <c r="J22" s="29" t="s">
        <v>232</v>
      </c>
      <c r="K22" s="34" t="n">
        <v>24897.21</v>
      </c>
      <c r="L22" s="29" t="s">
        <v>233</v>
      </c>
      <c r="M22" s="35"/>
    </row>
    <row r="23" customFormat="false" ht="15" hidden="false" customHeight="true" outlineLevel="0" collapsed="false">
      <c r="A23" s="29" t="s">
        <v>210</v>
      </c>
      <c r="B23" s="29" t="s">
        <v>249</v>
      </c>
      <c r="C23" s="29" t="s">
        <v>202</v>
      </c>
      <c r="D23" s="29" t="s">
        <v>206</v>
      </c>
      <c r="E23" s="30" t="n">
        <v>0.81</v>
      </c>
      <c r="F23" s="31" t="n">
        <v>0.931874748061762</v>
      </c>
      <c r="G23" s="32" t="n">
        <v>0.104374748061762</v>
      </c>
      <c r="H23" s="33" t="n">
        <v>3.94738528046565</v>
      </c>
      <c r="I23" s="30" t="n">
        <v>0.266719412289042</v>
      </c>
      <c r="J23" s="29" t="s">
        <v>213</v>
      </c>
      <c r="K23" s="34" t="n">
        <v>4286.25</v>
      </c>
      <c r="L23" s="29" t="s">
        <v>196</v>
      </c>
      <c r="M23" s="35"/>
    </row>
    <row r="24" customFormat="false" ht="15" hidden="false" customHeight="true" outlineLevel="0" collapsed="false">
      <c r="A24" s="29" t="s">
        <v>203</v>
      </c>
      <c r="B24" s="29" t="s">
        <v>250</v>
      </c>
      <c r="C24" s="29" t="s">
        <v>251</v>
      </c>
      <c r="D24" s="29" t="s">
        <v>206</v>
      </c>
      <c r="E24" s="30" t="n">
        <v>0.46</v>
      </c>
      <c r="F24" s="31" t="n">
        <v>0.578071132143677</v>
      </c>
      <c r="G24" s="32" t="n">
        <v>0.100571132143677</v>
      </c>
      <c r="H24" s="33" t="n">
        <v>3.99042521149589</v>
      </c>
      <c r="I24" s="30" t="n">
        <v>0.205244323120062</v>
      </c>
      <c r="J24" s="29" t="s">
        <v>207</v>
      </c>
      <c r="K24" s="34" t="n">
        <v>33708.55</v>
      </c>
      <c r="L24" s="29" t="s">
        <v>208</v>
      </c>
      <c r="M24" s="35"/>
    </row>
    <row r="25" customFormat="false" ht="15" hidden="false" customHeight="true" outlineLevel="0" collapsed="false">
      <c r="A25" s="29" t="s">
        <v>222</v>
      </c>
      <c r="B25" s="29" t="s">
        <v>252</v>
      </c>
      <c r="C25" s="29" t="s">
        <v>253</v>
      </c>
      <c r="D25" s="29" t="s">
        <v>206</v>
      </c>
      <c r="E25" s="30" t="n">
        <v>0.87</v>
      </c>
      <c r="F25" s="31" t="n">
        <v>0.984678876483815</v>
      </c>
      <c r="G25" s="36" t="n">
        <v>0.097178876483815</v>
      </c>
      <c r="H25" s="33" t="n">
        <v>2.77425317313622</v>
      </c>
      <c r="I25" s="30" t="n">
        <v>0.15</v>
      </c>
      <c r="J25" s="29" t="s">
        <v>225</v>
      </c>
      <c r="K25" s="34" t="n">
        <v>1209</v>
      </c>
      <c r="L25" s="29" t="s">
        <v>196</v>
      </c>
      <c r="M25" s="35"/>
    </row>
    <row r="26" customFormat="false" ht="15" hidden="false" customHeight="true" outlineLevel="0" collapsed="false">
      <c r="A26" s="29" t="s">
        <v>203</v>
      </c>
      <c r="B26" s="29" t="s">
        <v>254</v>
      </c>
      <c r="C26" s="29" t="s">
        <v>202</v>
      </c>
      <c r="D26" s="29" t="s">
        <v>206</v>
      </c>
      <c r="E26" s="30" t="n">
        <v>0.87</v>
      </c>
      <c r="F26" s="31" t="n">
        <v>0.984057852760055</v>
      </c>
      <c r="G26" s="36" t="n">
        <v>0.0965578527600552</v>
      </c>
      <c r="H26" s="33" t="n">
        <v>3.99042521149589</v>
      </c>
      <c r="I26" s="30" t="n">
        <v>0.205244323120062</v>
      </c>
      <c r="J26" s="29" t="s">
        <v>207</v>
      </c>
      <c r="K26" s="34" t="n">
        <v>2088.21</v>
      </c>
      <c r="L26" s="29" t="s">
        <v>208</v>
      </c>
      <c r="M26" s="35"/>
    </row>
    <row r="27" customFormat="false" ht="15" hidden="false" customHeight="true" outlineLevel="0" collapsed="false">
      <c r="A27" s="29" t="s">
        <v>226</v>
      </c>
      <c r="B27" s="29" t="s">
        <v>255</v>
      </c>
      <c r="C27" s="29" t="s">
        <v>256</v>
      </c>
      <c r="D27" s="29" t="s">
        <v>206</v>
      </c>
      <c r="E27" s="30" t="n">
        <v>0.81</v>
      </c>
      <c r="F27" s="31" t="n">
        <v>0.921611291638205</v>
      </c>
      <c r="G27" s="36" t="n">
        <v>0.0941112916382047</v>
      </c>
      <c r="H27" s="33" t="n">
        <v>2.8199192162478</v>
      </c>
      <c r="I27" s="30" t="n">
        <v>0.12</v>
      </c>
      <c r="J27" s="29" t="s">
        <v>228</v>
      </c>
      <c r="K27" s="34" t="n">
        <v>7554.03</v>
      </c>
      <c r="L27" s="29" t="s">
        <v>208</v>
      </c>
      <c r="M27" s="35"/>
    </row>
    <row r="28" customFormat="false" ht="15" hidden="false" customHeight="true" outlineLevel="0" collapsed="false">
      <c r="A28" s="29" t="s">
        <v>210</v>
      </c>
      <c r="B28" s="29" t="s">
        <v>257</v>
      </c>
      <c r="C28" s="29" t="s">
        <v>221</v>
      </c>
      <c r="D28" s="29" t="s">
        <v>206</v>
      </c>
      <c r="E28" s="30" t="n">
        <v>0.25</v>
      </c>
      <c r="F28" s="31" t="n">
        <v>0.350219066346149</v>
      </c>
      <c r="G28" s="36" t="n">
        <v>0.0827190663461487</v>
      </c>
      <c r="H28" s="33" t="n">
        <v>3.94738528046565</v>
      </c>
      <c r="I28" s="30" t="n">
        <v>0.266719412289042</v>
      </c>
      <c r="J28" s="29" t="s">
        <v>213</v>
      </c>
      <c r="K28" s="34" t="n">
        <v>8268.59</v>
      </c>
      <c r="L28" s="29" t="s">
        <v>196</v>
      </c>
      <c r="M28" s="35"/>
    </row>
    <row r="29" customFormat="false" ht="15" hidden="false" customHeight="true" outlineLevel="0" collapsed="false">
      <c r="A29" s="29" t="s">
        <v>210</v>
      </c>
      <c r="B29" s="29" t="s">
        <v>258</v>
      </c>
      <c r="C29" s="29" t="s">
        <v>259</v>
      </c>
      <c r="D29" s="29" t="s">
        <v>206</v>
      </c>
      <c r="E29" s="30" t="n">
        <v>0.9</v>
      </c>
      <c r="F29" s="31" t="n">
        <v>0.995534414649828</v>
      </c>
      <c r="G29" s="36" t="n">
        <v>0.0780344146498276</v>
      </c>
      <c r="H29" s="33" t="n">
        <v>3.94738528046565</v>
      </c>
      <c r="I29" s="30" t="n">
        <v>0.266719412289042</v>
      </c>
      <c r="J29" s="29" t="s">
        <v>213</v>
      </c>
      <c r="K29" s="34" t="n">
        <v>2007</v>
      </c>
      <c r="L29" s="29" t="s">
        <v>196</v>
      </c>
      <c r="M29" s="35"/>
    </row>
    <row r="30" customFormat="false" ht="15" hidden="false" customHeight="true" outlineLevel="0" collapsed="false">
      <c r="A30" s="29" t="s">
        <v>210</v>
      </c>
      <c r="B30" s="29" t="s">
        <v>260</v>
      </c>
      <c r="C30" s="29" t="s">
        <v>261</v>
      </c>
      <c r="D30" s="29" t="s">
        <v>206</v>
      </c>
      <c r="E30" s="30" t="n">
        <v>0.9</v>
      </c>
      <c r="F30" s="31" t="n">
        <v>0.987446479283885</v>
      </c>
      <c r="G30" s="36" t="n">
        <v>0.0699464792838853</v>
      </c>
      <c r="H30" s="33" t="n">
        <v>3.94738528046565</v>
      </c>
      <c r="I30" s="30" t="n">
        <v>0.266719412289042</v>
      </c>
      <c r="J30" s="29" t="s">
        <v>213</v>
      </c>
      <c r="K30" s="34" t="n">
        <v>4183.42</v>
      </c>
      <c r="L30" s="29" t="s">
        <v>196</v>
      </c>
      <c r="M30" s="35"/>
    </row>
    <row r="31" customFormat="false" ht="15" hidden="false" customHeight="true" outlineLevel="0" collapsed="false">
      <c r="A31" s="29" t="s">
        <v>222</v>
      </c>
      <c r="B31" s="29" t="s">
        <v>262</v>
      </c>
      <c r="C31" s="29" t="s">
        <v>193</v>
      </c>
      <c r="D31" s="29" t="s">
        <v>194</v>
      </c>
      <c r="E31" s="30" t="n">
        <v>0.88</v>
      </c>
      <c r="F31" s="31" t="n">
        <v>0.96699179125988</v>
      </c>
      <c r="G31" s="36" t="n">
        <v>0.0694917912598796</v>
      </c>
      <c r="H31" s="33" t="n">
        <v>2.77425317313622</v>
      </c>
      <c r="I31" s="30" t="n">
        <v>0.15</v>
      </c>
      <c r="J31" s="29" t="s">
        <v>225</v>
      </c>
      <c r="K31" s="34" t="n">
        <v>5562.77</v>
      </c>
      <c r="L31" s="29" t="s">
        <v>196</v>
      </c>
      <c r="M31" s="35"/>
    </row>
    <row r="32" customFormat="false" ht="15" hidden="false" customHeight="true" outlineLevel="0" collapsed="false">
      <c r="A32" s="29" t="s">
        <v>210</v>
      </c>
      <c r="B32" s="29" t="s">
        <v>263</v>
      </c>
      <c r="C32" s="29" t="s">
        <v>251</v>
      </c>
      <c r="D32" s="29" t="s">
        <v>206</v>
      </c>
      <c r="E32" s="30" t="n">
        <v>0.41</v>
      </c>
      <c r="F32" s="31" t="n">
        <v>0.496089128058156</v>
      </c>
      <c r="G32" s="36" t="n">
        <v>0.0685891280581561</v>
      </c>
      <c r="H32" s="33" t="n">
        <v>3.94738528046565</v>
      </c>
      <c r="I32" s="30" t="n">
        <v>0.266719412289042</v>
      </c>
      <c r="J32" s="29" t="s">
        <v>213</v>
      </c>
      <c r="K32" s="34" t="n">
        <v>27320.48</v>
      </c>
      <c r="L32" s="29" t="s">
        <v>196</v>
      </c>
      <c r="M32" s="35"/>
    </row>
    <row r="33" customFormat="false" ht="15" hidden="false" customHeight="true" outlineLevel="0" collapsed="false">
      <c r="A33" s="29" t="s">
        <v>229</v>
      </c>
      <c r="B33" s="29" t="s">
        <v>264</v>
      </c>
      <c r="C33" s="29" t="s">
        <v>265</v>
      </c>
      <c r="D33" s="29" t="s">
        <v>194</v>
      </c>
      <c r="E33" s="30" t="n">
        <v>0.92</v>
      </c>
      <c r="F33" s="31" t="n">
        <v>0.999996340433691</v>
      </c>
      <c r="G33" s="36" t="n">
        <v>0.0624963404336906</v>
      </c>
      <c r="H33" s="33" t="n">
        <v>0.201580971097386</v>
      </c>
      <c r="I33" s="30" t="n">
        <v>0.1</v>
      </c>
      <c r="J33" s="29" t="s">
        <v>232</v>
      </c>
      <c r="K33" s="34" t="n">
        <v>6770.02</v>
      </c>
      <c r="L33" s="29" t="s">
        <v>233</v>
      </c>
      <c r="M33" s="35"/>
    </row>
    <row r="34" customFormat="false" ht="15" hidden="false" customHeight="true" outlineLevel="0" collapsed="false">
      <c r="A34" s="29" t="s">
        <v>229</v>
      </c>
      <c r="B34" s="29" t="s">
        <v>266</v>
      </c>
      <c r="C34" s="29" t="s">
        <v>267</v>
      </c>
      <c r="D34" s="29" t="s">
        <v>194</v>
      </c>
      <c r="E34" s="30" t="n">
        <v>0.92</v>
      </c>
      <c r="F34" s="31" t="n">
        <v>0.99975318580208</v>
      </c>
      <c r="G34" s="36" t="n">
        <v>0.06225318580208</v>
      </c>
      <c r="H34" s="33" t="n">
        <v>0.201580971097386</v>
      </c>
      <c r="I34" s="30" t="n">
        <v>0.1</v>
      </c>
      <c r="J34" s="29" t="s">
        <v>232</v>
      </c>
      <c r="K34" s="34" t="n">
        <v>4607.51</v>
      </c>
      <c r="L34" s="29" t="s">
        <v>233</v>
      </c>
      <c r="M34" s="35"/>
    </row>
    <row r="35" customFormat="false" ht="15" hidden="false" customHeight="true" outlineLevel="0" collapsed="false">
      <c r="A35" s="29" t="s">
        <v>226</v>
      </c>
      <c r="B35" s="29" t="s">
        <v>268</v>
      </c>
      <c r="C35" s="29" t="s">
        <v>253</v>
      </c>
      <c r="D35" s="29" t="s">
        <v>206</v>
      </c>
      <c r="E35" s="30" t="n">
        <v>0.92</v>
      </c>
      <c r="F35" s="31" t="n">
        <v>0.998974203424148</v>
      </c>
      <c r="G35" s="36" t="n">
        <v>0.0614742034241484</v>
      </c>
      <c r="H35" s="33" t="n">
        <v>2.8199192162478</v>
      </c>
      <c r="I35" s="30" t="n">
        <v>0.12</v>
      </c>
      <c r="J35" s="29" t="s">
        <v>228</v>
      </c>
      <c r="K35" s="34" t="n">
        <v>1563.9</v>
      </c>
      <c r="L35" s="29" t="s">
        <v>208</v>
      </c>
      <c r="M35" s="35"/>
    </row>
    <row r="36" customFormat="false" ht="15" hidden="false" customHeight="true" outlineLevel="0" collapsed="false">
      <c r="A36" s="29" t="s">
        <v>222</v>
      </c>
      <c r="B36" s="29" t="s">
        <v>269</v>
      </c>
      <c r="C36" s="29" t="s">
        <v>270</v>
      </c>
      <c r="D36" s="29" t="s">
        <v>194</v>
      </c>
      <c r="E36" s="30" t="n">
        <v>0.36</v>
      </c>
      <c r="F36" s="31" t="n">
        <v>0.435775847922611</v>
      </c>
      <c r="G36" s="36" t="n">
        <v>0.0582758479226106</v>
      </c>
      <c r="H36" s="33" t="n">
        <v>2.77425317313622</v>
      </c>
      <c r="I36" s="30" t="n">
        <v>0.15</v>
      </c>
      <c r="J36" s="29" t="s">
        <v>225</v>
      </c>
      <c r="K36" s="34" t="n">
        <v>4115.28</v>
      </c>
      <c r="L36" s="29" t="s">
        <v>196</v>
      </c>
      <c r="M36" s="35"/>
    </row>
    <row r="37" customFormat="false" ht="15" hidden="false" customHeight="true" outlineLevel="0" collapsed="false">
      <c r="A37" s="29" t="s">
        <v>222</v>
      </c>
      <c r="B37" s="29" t="s">
        <v>271</v>
      </c>
      <c r="C37" s="29" t="s">
        <v>259</v>
      </c>
      <c r="D37" s="29" t="s">
        <v>194</v>
      </c>
      <c r="E37" s="30" t="n">
        <v>0.93</v>
      </c>
      <c r="F37" s="31" t="n">
        <v>0.99924211045828</v>
      </c>
      <c r="G37" s="36" t="n">
        <v>0.05174211045828</v>
      </c>
      <c r="H37" s="33" t="n">
        <v>2.77425317313622</v>
      </c>
      <c r="I37" s="30" t="n">
        <v>0.15</v>
      </c>
      <c r="J37" s="29" t="s">
        <v>225</v>
      </c>
      <c r="K37" s="34" t="n">
        <v>4209.31</v>
      </c>
      <c r="L37" s="29" t="s">
        <v>196</v>
      </c>
      <c r="M37" s="35"/>
    </row>
    <row r="38" customFormat="false" ht="15" hidden="false" customHeight="true" outlineLevel="0" collapsed="false">
      <c r="A38" s="29" t="s">
        <v>226</v>
      </c>
      <c r="B38" s="29" t="s">
        <v>272</v>
      </c>
      <c r="C38" s="29" t="s">
        <v>246</v>
      </c>
      <c r="D38" s="29" t="s">
        <v>194</v>
      </c>
      <c r="E38" s="30" t="n">
        <v>0.53</v>
      </c>
      <c r="F38" s="31" t="n">
        <v>0.59896660793772</v>
      </c>
      <c r="G38" s="36" t="n">
        <v>0.0514666079377203</v>
      </c>
      <c r="H38" s="33" t="n">
        <v>2.8199192162478</v>
      </c>
      <c r="I38" s="30" t="n">
        <v>0.12</v>
      </c>
      <c r="J38" s="29" t="s">
        <v>228</v>
      </c>
      <c r="K38" s="34" t="n">
        <v>1425.88</v>
      </c>
      <c r="L38" s="29" t="s">
        <v>208</v>
      </c>
      <c r="M38" s="35"/>
    </row>
    <row r="39" customFormat="false" ht="15" hidden="false" customHeight="true" outlineLevel="0" collapsed="false">
      <c r="A39" s="29" t="s">
        <v>210</v>
      </c>
      <c r="B39" s="29" t="s">
        <v>273</v>
      </c>
      <c r="C39" s="29" t="s">
        <v>274</v>
      </c>
      <c r="D39" s="29" t="s">
        <v>206</v>
      </c>
      <c r="E39" s="30" t="n">
        <v>0.93</v>
      </c>
      <c r="F39" s="31" t="n">
        <v>0.998603300900243</v>
      </c>
      <c r="G39" s="36" t="n">
        <v>0.0511033009002428</v>
      </c>
      <c r="H39" s="33" t="n">
        <v>3.94738528046565</v>
      </c>
      <c r="I39" s="30" t="n">
        <v>0.266719412289042</v>
      </c>
      <c r="J39" s="29" t="s">
        <v>213</v>
      </c>
      <c r="K39" s="34" t="n">
        <v>2454</v>
      </c>
      <c r="L39" s="29" t="s">
        <v>196</v>
      </c>
      <c r="M39" s="35"/>
    </row>
    <row r="41" customFormat="false" ht="15" hidden="false" customHeight="true" outlineLevel="0" collapsed="false">
      <c r="A41" s="4" t="s">
        <v>7</v>
      </c>
    </row>
    <row r="42" customFormat="false" ht="15" hidden="false" customHeight="true" outlineLevel="0" collapsed="false">
      <c r="A42" s="37" t="s">
        <v>275</v>
      </c>
    </row>
    <row r="43" customFormat="false" ht="15" hidden="false" customHeight="true" outlineLevel="0" collapsed="false">
      <c r="A43" s="37" t="s">
        <v>276</v>
      </c>
    </row>
    <row r="44" customFormat="false" ht="15" hidden="false" customHeight="true" outlineLevel="0" collapsed="false">
      <c r="A44" s="37" t="s">
        <v>277</v>
      </c>
    </row>
    <row r="45" customFormat="false" ht="15" hidden="false" customHeight="true" outlineLevel="0" collapsed="false">
      <c r="A45" s="37" t="s">
        <v>278</v>
      </c>
    </row>
    <row r="46" customFormat="false" ht="15" hidden="false" customHeight="true" outlineLevel="0" collapsed="false">
      <c r="A46" s="37" t="s">
        <v>279</v>
      </c>
    </row>
    <row r="47" customFormat="false" ht="15" hidden="false" customHeight="true" outlineLevel="0" collapsed="false">
      <c r="A47" s="37" t="s">
        <v>280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1" width="12"/>
    <col collapsed="false" customWidth="true" hidden="false" outlineLevel="0" max="6" min="4" style="1" width="11"/>
    <col collapsed="false" customWidth="true" hidden="false" outlineLevel="0" max="7" min="7" style="1" width="12"/>
    <col collapsed="false" customWidth="true" hidden="false" outlineLevel="0" max="9" min="8" style="1" width="11"/>
    <col collapsed="false" customWidth="true" hidden="false" outlineLevel="0" max="11" min="10" style="1" width="12"/>
    <col collapsed="false" customWidth="true" hidden="false" outlineLevel="0" max="12" min="12" style="1" width="14"/>
  </cols>
  <sheetData>
    <row r="1" customFormat="false" ht="17.25" hidden="false" customHeight="true" outlineLevel="0" collapsed="false">
      <c r="A1" s="2" t="s">
        <v>281</v>
      </c>
    </row>
    <row r="2" customFormat="false" ht="43.5" hidden="false" customHeight="true" outlineLevel="0" collapsed="false">
      <c r="A2" s="27" t="s">
        <v>282</v>
      </c>
    </row>
    <row r="4" customFormat="false" ht="23.25" hidden="false" customHeight="true" outlineLevel="0" collapsed="false">
      <c r="A4" s="28" t="s">
        <v>283</v>
      </c>
      <c r="B4" s="28" t="s">
        <v>284</v>
      </c>
      <c r="C4" s="28" t="s">
        <v>285</v>
      </c>
      <c r="D4" s="28" t="s">
        <v>286</v>
      </c>
      <c r="E4" s="28" t="s">
        <v>287</v>
      </c>
      <c r="F4" s="28" t="s">
        <v>288</v>
      </c>
      <c r="G4" s="28" t="s">
        <v>289</v>
      </c>
      <c r="H4" s="28" t="s">
        <v>290</v>
      </c>
      <c r="I4" s="28" t="s">
        <v>291</v>
      </c>
      <c r="J4" s="28" t="s">
        <v>292</v>
      </c>
      <c r="K4" s="28" t="s">
        <v>293</v>
      </c>
      <c r="L4" s="28" t="s">
        <v>294</v>
      </c>
    </row>
    <row r="5" customFormat="false" ht="15" hidden="false" customHeight="true" outlineLevel="0" collapsed="false">
      <c r="A5" s="29" t="s">
        <v>295</v>
      </c>
      <c r="B5" s="16" t="n">
        <v>-0.0610627217844106</v>
      </c>
      <c r="C5" s="16" t="n">
        <v>-0.109232665577674</v>
      </c>
      <c r="D5" s="38" t="n">
        <f aca="false">C5-B5</f>
        <v>-0.0481699437932634</v>
      </c>
      <c r="E5" s="16"/>
      <c r="F5" s="16"/>
      <c r="G5" s="39" t="str">
        <f aca="false">IF(E5="","",ROUND(ROUND(F5,1)-ROUND(E5,1),1))</f>
        <v/>
      </c>
      <c r="H5" s="16" t="n">
        <v>0.2</v>
      </c>
      <c r="I5" s="16" t="n">
        <v>0.151830056206736</v>
      </c>
      <c r="J5" s="40" t="n">
        <f aca="false">IF(H5="","",ABS(ROUND(I5,1)-H5))</f>
        <v>0</v>
      </c>
      <c r="K5" s="40" t="n">
        <f aca="false">SUM(J$5:J5)</f>
        <v>0</v>
      </c>
      <c r="L5" s="29" t="s">
        <v>296</v>
      </c>
    </row>
    <row r="6" customFormat="false" ht="15" hidden="false" customHeight="true" outlineLevel="0" collapsed="false">
      <c r="A6" s="29" t="s">
        <v>297</v>
      </c>
      <c r="B6" s="16" t="n">
        <v>0.0941478467042511</v>
      </c>
      <c r="C6" s="16" t="n">
        <v>0.0307281860588929</v>
      </c>
      <c r="D6" s="38" t="n">
        <f aca="false">C6-B6</f>
        <v>-0.0634196606453582</v>
      </c>
      <c r="E6" s="16" t="n">
        <v>1.36200549471932</v>
      </c>
      <c r="F6" s="16" t="n">
        <v>1.29778251935961</v>
      </c>
      <c r="G6" s="39" t="n">
        <f aca="false">IF(E6="","",ROUND(ROUND(F6,1)-ROUND(E6,1),1))</f>
        <v>-0.1</v>
      </c>
      <c r="H6" s="16" t="n">
        <v>0.4</v>
      </c>
      <c r="I6" s="16" t="n">
        <v>0.336580339354642</v>
      </c>
      <c r="J6" s="40" t="n">
        <f aca="false">IF(H6="","",ABS(ROUND(I6,1)-H6))</f>
        <v>0.1</v>
      </c>
      <c r="K6" s="40" t="n">
        <f aca="false">SUM(J$5:J6)</f>
        <v>0.1</v>
      </c>
      <c r="L6" s="29" t="s">
        <v>296</v>
      </c>
    </row>
    <row r="7" customFormat="false" ht="15" hidden="false" customHeight="true" outlineLevel="0" collapsed="false">
      <c r="A7" s="29" t="s">
        <v>298</v>
      </c>
      <c r="B7" s="16" t="n">
        <v>0.425378348702754</v>
      </c>
      <c r="C7" s="16" t="n">
        <v>0.494216230200572</v>
      </c>
      <c r="D7" s="38" t="n">
        <f aca="false">C7-B7</f>
        <v>0.068837881497818</v>
      </c>
      <c r="E7" s="16"/>
      <c r="F7" s="16"/>
      <c r="G7" s="39" t="str">
        <f aca="false">IF(E7="","",ROUND(ROUND(F7,1)-ROUND(E7,1),1))</f>
        <v/>
      </c>
      <c r="H7" s="16" t="n">
        <v>0.3</v>
      </c>
      <c r="I7" s="16" t="n">
        <v>0.368837881497818</v>
      </c>
      <c r="J7" s="40" t="n">
        <f aca="false">IF(H7="","",ABS(ROUND(I7,1)-H7))</f>
        <v>0.1</v>
      </c>
      <c r="K7" s="40" t="n">
        <f aca="false">SUM(J$5:J7)</f>
        <v>0.2</v>
      </c>
      <c r="L7" s="29" t="s">
        <v>296</v>
      </c>
    </row>
    <row r="8" customFormat="false" ht="15" hidden="false" customHeight="true" outlineLevel="0" collapsed="false">
      <c r="A8" s="29" t="s">
        <v>299</v>
      </c>
      <c r="B8" s="16" t="n">
        <v>0.547438279392321</v>
      </c>
      <c r="C8" s="16" t="n">
        <v>0.453770700540494</v>
      </c>
      <c r="D8" s="38" t="n">
        <f aca="false">C8-B8</f>
        <v>-0.093667578851827</v>
      </c>
      <c r="E8" s="16" t="n">
        <v>1.67621521737451</v>
      </c>
      <c r="F8" s="16" t="n">
        <v>1.58149609703486</v>
      </c>
      <c r="G8" s="39" t="n">
        <f aca="false">IF(E8="","",ROUND(ROUND(F8,1)-ROUND(E8,1),1))</f>
        <v>-0.1</v>
      </c>
      <c r="H8" s="16" t="n">
        <v>0.4</v>
      </c>
      <c r="I8" s="16" t="n">
        <v>0.306332421148174</v>
      </c>
      <c r="J8" s="40" t="n">
        <f aca="false">IF(H8="","",ABS(ROUND(I8,1)-H8))</f>
        <v>0.1</v>
      </c>
      <c r="K8" s="40" t="n">
        <f aca="false">SUM(J$5:J8)</f>
        <v>0.3</v>
      </c>
      <c r="L8" s="29" t="s">
        <v>296</v>
      </c>
    </row>
    <row r="9" customFormat="false" ht="15" hidden="false" customHeight="true" outlineLevel="0" collapsed="false">
      <c r="A9" s="29" t="s">
        <v>300</v>
      </c>
      <c r="B9" s="16" t="n">
        <v>0.708327313374957</v>
      </c>
      <c r="C9" s="16" t="n">
        <v>0.51972339336382</v>
      </c>
      <c r="D9" s="38" t="n">
        <f aca="false">C9-B9</f>
        <v>-0.188603920011137</v>
      </c>
      <c r="E9" s="16"/>
      <c r="F9" s="16"/>
      <c r="G9" s="39" t="str">
        <f aca="false">IF(E9="","",ROUND(ROUND(F9,1)-ROUND(E9,1),1))</f>
        <v/>
      </c>
      <c r="H9" s="16" t="n">
        <v>0.6</v>
      </c>
      <c r="I9" s="16" t="n">
        <v>0.411396079988863</v>
      </c>
      <c r="J9" s="40" t="n">
        <f aca="false">IF(H9="","",ABS(ROUND(I9,1)-H9))</f>
        <v>0.2</v>
      </c>
      <c r="K9" s="40" t="n">
        <f aca="false">SUM(J$5:J9)</f>
        <v>0.5</v>
      </c>
      <c r="L9" s="29" t="s">
        <v>296</v>
      </c>
    </row>
    <row r="10" customFormat="false" ht="15" hidden="false" customHeight="true" outlineLevel="0" collapsed="false">
      <c r="A10" s="29" t="s">
        <v>301</v>
      </c>
      <c r="B10" s="16" t="n">
        <v>0.821890915406009</v>
      </c>
      <c r="C10" s="16" t="n">
        <v>0.201403751237705</v>
      </c>
      <c r="D10" s="38" t="n">
        <f aca="false">C10-B10</f>
        <v>-0.620487164168304</v>
      </c>
      <c r="E10" s="16" t="n">
        <v>4.15969483870211</v>
      </c>
      <c r="F10" s="16" t="n">
        <v>3.51866586092455</v>
      </c>
      <c r="G10" s="39" t="n">
        <f aca="false">IF(E10="","",ROUND(ROUND(F10,1)-ROUND(E10,1),1))</f>
        <v>-0.7</v>
      </c>
      <c r="H10" s="16" t="n">
        <v>0.8</v>
      </c>
      <c r="I10" s="16" t="n">
        <v>0.179512835831695</v>
      </c>
      <c r="J10" s="40" t="n">
        <f aca="false">IF(H10="","",ABS(ROUND(I10,1)-H10))</f>
        <v>0.6</v>
      </c>
      <c r="K10" s="40" t="n">
        <f aca="false">SUM(J$5:J10)</f>
        <v>1.1</v>
      </c>
      <c r="L10" s="29" t="s">
        <v>296</v>
      </c>
    </row>
    <row r="11" customFormat="false" ht="15" hidden="false" customHeight="true" outlineLevel="0" collapsed="false">
      <c r="A11" s="29" t="s">
        <v>302</v>
      </c>
      <c r="B11" s="16" t="n">
        <v>0.801710515476284</v>
      </c>
      <c r="C11" s="16" t="n">
        <v>0.496196094938282</v>
      </c>
      <c r="D11" s="38" t="n">
        <f aca="false">C11-B11</f>
        <v>-0.305514420538002</v>
      </c>
      <c r="E11" s="16"/>
      <c r="F11" s="16"/>
      <c r="G11" s="39" t="str">
        <f aca="false">IF(E11="","",ROUND(ROUND(F11,1)-ROUND(E11,1),1))</f>
        <v/>
      </c>
      <c r="H11" s="16" t="n">
        <v>0.6</v>
      </c>
      <c r="I11" s="16" t="n">
        <v>0.294485579461998</v>
      </c>
      <c r="J11" s="40" t="n">
        <f aca="false">IF(H11="","",ABS(ROUND(I11,1)-H11))</f>
        <v>0.3</v>
      </c>
      <c r="K11" s="40" t="n">
        <f aca="false">SUM(J$5:J11)</f>
        <v>1.4</v>
      </c>
      <c r="L11" s="29" t="s">
        <v>296</v>
      </c>
    </row>
    <row r="12" customFormat="false" ht="15" hidden="false" customHeight="true" outlineLevel="0" collapsed="false">
      <c r="A12" s="29" t="s">
        <v>303</v>
      </c>
      <c r="B12" s="16" t="n">
        <v>0.929066290235725</v>
      </c>
      <c r="C12" s="16" t="n">
        <v>0.673709145414618</v>
      </c>
      <c r="D12" s="38" t="n">
        <f aca="false">C12-B12</f>
        <v>-0.255357144821107</v>
      </c>
      <c r="E12" s="16" t="n">
        <v>5.39145141332134</v>
      </c>
      <c r="F12" s="16" t="n">
        <v>5.12480414201828</v>
      </c>
      <c r="G12" s="39" t="n">
        <f aca="false">IF(E12="","",ROUND(ROUND(F12,1)-ROUND(E12,1),1))</f>
        <v>-0.3</v>
      </c>
      <c r="H12" s="16" t="n">
        <v>0.9</v>
      </c>
      <c r="I12" s="16" t="n">
        <v>0.644642855178893</v>
      </c>
      <c r="J12" s="40" t="n">
        <f aca="false">IF(H12="","",ABS(ROUND(I12,1)-H12))</f>
        <v>0.3</v>
      </c>
      <c r="K12" s="40" t="n">
        <f aca="false">SUM(J$5:J12)</f>
        <v>1.7</v>
      </c>
      <c r="L12" s="29" t="s">
        <v>296</v>
      </c>
    </row>
    <row r="13" customFormat="false" ht="15" hidden="false" customHeight="true" outlineLevel="0" collapsed="false">
      <c r="A13" s="29" t="s">
        <v>304</v>
      </c>
      <c r="B13" s="16" t="n">
        <v>0.481052352629385</v>
      </c>
      <c r="C13" s="16" t="n">
        <v>0.592155004784938</v>
      </c>
      <c r="D13" s="38" t="n">
        <f aca="false">C13-B13</f>
        <v>0.111102652155553</v>
      </c>
      <c r="E13" s="16"/>
      <c r="F13" s="16"/>
      <c r="G13" s="39" t="str">
        <f aca="false">IF(E13="","",ROUND(ROUND(F13,1)-ROUND(E13,1),1))</f>
        <v/>
      </c>
      <c r="H13" s="16" t="n">
        <v>0.5</v>
      </c>
      <c r="I13" s="16" t="n">
        <v>0.611102652155553</v>
      </c>
      <c r="J13" s="40" t="n">
        <f aca="false">IF(H13="","",ABS(ROUND(I13,1)-H13))</f>
        <v>0.1</v>
      </c>
      <c r="K13" s="40" t="n">
        <f aca="false">SUM(J$5:J13)</f>
        <v>1.8</v>
      </c>
      <c r="L13" s="29" t="s">
        <v>296</v>
      </c>
    </row>
    <row r="14" customFormat="false" ht="15" hidden="false" customHeight="true" outlineLevel="0" collapsed="false">
      <c r="A14" s="29" t="s">
        <v>305</v>
      </c>
      <c r="B14" s="16" t="n">
        <v>0.206591136361145</v>
      </c>
      <c r="C14" s="16" t="n">
        <v>0.718072652104479</v>
      </c>
      <c r="D14" s="38" t="n">
        <f aca="false">C14-B14</f>
        <v>0.511481515743334</v>
      </c>
      <c r="E14" s="16" t="n">
        <v>5.25127155487499</v>
      </c>
      <c r="F14" s="16" t="n">
        <v>5.78850248248479</v>
      </c>
      <c r="G14" s="39" t="n">
        <f aca="false">IF(E14="","",ROUND(ROUND(F14,1)-ROUND(E14,1),1))</f>
        <v>0.5</v>
      </c>
      <c r="H14" s="16" t="n">
        <v>0.3</v>
      </c>
      <c r="I14" s="16" t="n">
        <v>0.811481515743334</v>
      </c>
      <c r="J14" s="40" t="n">
        <f aca="false">IF(H14="","",ABS(ROUND(I14,1)-H14))</f>
        <v>0.5</v>
      </c>
      <c r="K14" s="40" t="n">
        <f aca="false">SUM(J$5:J14)</f>
        <v>2.3</v>
      </c>
      <c r="L14" s="29" t="s">
        <v>296</v>
      </c>
    </row>
    <row r="15" customFormat="false" ht="15" hidden="false" customHeight="true" outlineLevel="0" collapsed="false">
      <c r="A15" s="29" t="s">
        <v>306</v>
      </c>
      <c r="B15" s="16" t="n">
        <v>0.271597085905828</v>
      </c>
      <c r="C15" s="16" t="n">
        <v>0.574474494463531</v>
      </c>
      <c r="D15" s="38" t="n">
        <f aca="false">C15-B15</f>
        <v>0.302877408557703</v>
      </c>
      <c r="E15" s="16"/>
      <c r="F15" s="16"/>
      <c r="G15" s="39" t="str">
        <f aca="false">IF(E15="","",ROUND(ROUND(F15,1)-ROUND(E15,1),1))</f>
        <v/>
      </c>
      <c r="H15" s="16" t="n">
        <v>0.4</v>
      </c>
      <c r="I15" s="16" t="n">
        <v>0.702877408557703</v>
      </c>
      <c r="J15" s="40" t="n">
        <f aca="false">IF(H15="","",ABS(ROUND(I15,1)-H15))</f>
        <v>0.3</v>
      </c>
      <c r="K15" s="40" t="n">
        <f aca="false">SUM(J$5:J15)</f>
        <v>2.6</v>
      </c>
      <c r="L15" s="29" t="s">
        <v>296</v>
      </c>
    </row>
    <row r="16" customFormat="false" ht="15" hidden="false" customHeight="true" outlineLevel="0" collapsed="false">
      <c r="A16" s="29" t="s">
        <v>307</v>
      </c>
      <c r="B16" s="16" t="n">
        <v>0.830811855200309</v>
      </c>
      <c r="C16" s="16" t="n">
        <v>0.465740074571763</v>
      </c>
      <c r="D16" s="38" t="n">
        <f aca="false">C16-B16</f>
        <v>-0.365071780628546</v>
      </c>
      <c r="E16" s="16" t="n">
        <v>6.22186890332888</v>
      </c>
      <c r="F16" s="16" t="n">
        <v>5.83727806141521</v>
      </c>
      <c r="G16" s="39" t="n">
        <f aca="false">IF(E16="","",ROUND(ROUND(F16,1)-ROUND(E16,1),1))</f>
        <v>-0.4</v>
      </c>
      <c r="H16" s="16" t="n">
        <v>0.9</v>
      </c>
      <c r="I16" s="16" t="n">
        <v>0.534928219371455</v>
      </c>
      <c r="J16" s="40" t="n">
        <f aca="false">IF(H16="","",ABS(ROUND(I16,1)-H16))</f>
        <v>0.4</v>
      </c>
      <c r="K16" s="40" t="n">
        <f aca="false">SUM(J$5:J16)</f>
        <v>3</v>
      </c>
      <c r="L16" s="29" t="s">
        <v>296</v>
      </c>
    </row>
    <row r="17" customFormat="false" ht="15" hidden="false" customHeight="true" outlineLevel="0" collapsed="false">
      <c r="A17" s="29" t="s">
        <v>308</v>
      </c>
      <c r="B17" s="16" t="n">
        <v>0.491342750434765</v>
      </c>
      <c r="C17" s="16" t="n">
        <v>0.333386203806302</v>
      </c>
      <c r="D17" s="38" t="n">
        <f aca="false">C17-B17</f>
        <v>-0.157956546628463</v>
      </c>
      <c r="E17" s="16" t="n">
        <v>6.8090028398065</v>
      </c>
      <c r="F17" s="16" t="n">
        <v>6.64111592760446</v>
      </c>
      <c r="G17" s="39" t="n">
        <f aca="false">IF(E17="","",ROUND(ROUND(F17,1)-ROUND(E17,1),1))</f>
        <v>-0.2</v>
      </c>
      <c r="H17" s="16" t="n">
        <v>0.8</v>
      </c>
      <c r="I17" s="16" t="n">
        <v>0.642043453371537</v>
      </c>
      <c r="J17" s="40" t="n">
        <f aca="false">IF(H17="","",ABS(ROUND(I17,1)-H17))</f>
        <v>0.2</v>
      </c>
      <c r="K17" s="40" t="n">
        <f aca="false">SUM(J$5:J17)</f>
        <v>3.2</v>
      </c>
      <c r="L17" s="29" t="s">
        <v>296</v>
      </c>
    </row>
    <row r="18" customFormat="false" ht="15" hidden="false" customHeight="true" outlineLevel="0" collapsed="false">
      <c r="A18" s="29" t="s">
        <v>309</v>
      </c>
      <c r="B18" s="16" t="n">
        <v>0.30725171614836</v>
      </c>
      <c r="C18" s="16" t="n">
        <v>0.17397965162774</v>
      </c>
      <c r="D18" s="38" t="n">
        <f aca="false">C18-B18</f>
        <v>-0.13327206452062</v>
      </c>
      <c r="E18" s="16" t="n">
        <v>7.03640286554514</v>
      </c>
      <c r="F18" s="16" t="n">
        <v>6.89419019253599</v>
      </c>
      <c r="G18" s="39" t="n">
        <f aca="false">IF(E18="","",ROUND(ROUND(F18,1)-ROUND(E18,1),1))</f>
        <v>-0.1</v>
      </c>
      <c r="H18" s="16" t="n">
        <v>0.5</v>
      </c>
      <c r="I18" s="16" t="n">
        <v>0.36672793547938</v>
      </c>
      <c r="J18" s="40" t="n">
        <f aca="false">IF(H18="","",ABS(ROUND(I18,1)-H18))</f>
        <v>0.1</v>
      </c>
      <c r="K18" s="40" t="n">
        <f aca="false">SUM(J$5:J18)</f>
        <v>3.3</v>
      </c>
      <c r="L18" s="29" t="s">
        <v>296</v>
      </c>
    </row>
    <row r="19" customFormat="false" ht="15" hidden="false" customHeight="true" outlineLevel="0" collapsed="false">
      <c r="A19" s="29" t="s">
        <v>310</v>
      </c>
      <c r="B19" s="16" t="n">
        <v>0.841457378354527</v>
      </c>
      <c r="C19" s="16" t="n">
        <v>0.733564037585349</v>
      </c>
      <c r="D19" s="38" t="n">
        <f aca="false">C19-B19</f>
        <v>-0.107893340769178</v>
      </c>
      <c r="E19" s="16" t="n">
        <v>7.47987246828912</v>
      </c>
      <c r="F19" s="16" t="n">
        <v>7.36487648541138</v>
      </c>
      <c r="G19" s="39" t="n">
        <f aca="false">IF(E19="","",ROUND(ROUND(F19,1)-ROUND(E19,1),1))</f>
        <v>-0.1</v>
      </c>
      <c r="H19" s="16" t="n">
        <v>0.6</v>
      </c>
      <c r="I19" s="16" t="n">
        <v>0.492106659230822</v>
      </c>
      <c r="J19" s="40" t="n">
        <f aca="false">IF(H19="","",ABS(ROUND(I19,1)-H19))</f>
        <v>0.1</v>
      </c>
      <c r="K19" s="40" t="n">
        <f aca="false">SUM(J$5:J19)</f>
        <v>3.4</v>
      </c>
      <c r="L19" s="29" t="s">
        <v>311</v>
      </c>
    </row>
    <row r="20" customFormat="false" ht="15" hidden="false" customHeight="true" outlineLevel="0" collapsed="false">
      <c r="A20" s="29" t="s">
        <v>312</v>
      </c>
      <c r="B20" s="16" t="n">
        <v>0.913397925647685</v>
      </c>
      <c r="C20" s="16" t="n">
        <v>0.957770151315105</v>
      </c>
      <c r="D20" s="38" t="n">
        <f aca="false">C20-B20</f>
        <v>0.0443722256674201</v>
      </c>
      <c r="E20" s="16" t="n">
        <v>7.87106389773926</v>
      </c>
      <c r="F20" s="16" t="n">
        <v>7.91849545081989</v>
      </c>
      <c r="G20" s="39" t="n">
        <f aca="false">IF(E20="","",ROUND(ROUND(F20,1)-ROUND(E20,1),1))</f>
        <v>0</v>
      </c>
      <c r="H20" s="16" t="n">
        <v>0.8</v>
      </c>
      <c r="I20" s="16" t="n">
        <v>0.84437222566742</v>
      </c>
      <c r="J20" s="40" t="n">
        <f aca="false">IF(H20="","",ABS(ROUND(I20,1)-H20))</f>
        <v>0</v>
      </c>
      <c r="K20" s="40" t="n">
        <f aca="false">SUM(J$5:J20)</f>
        <v>3.4</v>
      </c>
      <c r="L20" s="29" t="s">
        <v>311</v>
      </c>
    </row>
    <row r="21" customFormat="false" ht="15" hidden="false" customHeight="true" outlineLevel="0" collapsed="false">
      <c r="A21" s="29" t="s">
        <v>313</v>
      </c>
      <c r="B21" s="16" t="n">
        <v>1.33513795485627</v>
      </c>
      <c r="C21" s="16" t="n">
        <v>1.32699307822441</v>
      </c>
      <c r="D21" s="38" t="n">
        <f aca="false">C21-B21</f>
        <v>-0.00814487663186014</v>
      </c>
      <c r="E21" s="16" t="n">
        <v>8.54245555484243</v>
      </c>
      <c r="F21" s="16" t="n">
        <v>8.53373138544125</v>
      </c>
      <c r="G21" s="39" t="n">
        <f aca="false">IF(E21="","",ROUND(ROUND(F21,1)-ROUND(E21,1),1))</f>
        <v>0</v>
      </c>
      <c r="H21" s="16" t="n">
        <v>1.2</v>
      </c>
      <c r="I21" s="16" t="n">
        <v>1.19185512336814</v>
      </c>
      <c r="J21" s="40" t="n">
        <f aca="false">IF(H21="","",ABS(ROUND(I21,1)-H21))</f>
        <v>0</v>
      </c>
      <c r="K21" s="40" t="n">
        <f aca="false">SUM(J$5:J21)</f>
        <v>3.4</v>
      </c>
      <c r="L21" s="29" t="s">
        <v>311</v>
      </c>
    </row>
    <row r="22" customFormat="false" ht="15" hidden="false" customHeight="true" outlineLevel="0" collapsed="false">
      <c r="A22" s="29" t="s">
        <v>314</v>
      </c>
      <c r="B22" s="16" t="n">
        <v>0.55825310256552</v>
      </c>
      <c r="C22" s="16" t="n">
        <v>0.398636635386273</v>
      </c>
      <c r="D22" s="38" t="n">
        <f aca="false">C22-B22</f>
        <v>-0.159616467179247</v>
      </c>
      <c r="E22" s="16" t="n">
        <v>8.25862934088237</v>
      </c>
      <c r="F22" s="16" t="n">
        <v>8.08679003954291</v>
      </c>
      <c r="G22" s="39" t="n">
        <f aca="false">IF(E22="","",ROUND(ROUND(F22,1)-ROUND(E22,1),1))</f>
        <v>-0.2</v>
      </c>
      <c r="H22" s="16" t="n">
        <v>0.3</v>
      </c>
      <c r="I22" s="16" t="n">
        <v>0.140383532820752</v>
      </c>
      <c r="J22" s="40" t="n">
        <f aca="false">IF(H22="","",ABS(ROUND(I22,1)-H22))</f>
        <v>0.2</v>
      </c>
      <c r="K22" s="40" t="n">
        <f aca="false">SUM(J$5:J22)</f>
        <v>3.6</v>
      </c>
      <c r="L22" s="29" t="s">
        <v>311</v>
      </c>
    </row>
    <row r="23" customFormat="false" ht="15" hidden="false" customHeight="true" outlineLevel="0" collapsed="false">
      <c r="A23" s="29" t="s">
        <v>315</v>
      </c>
      <c r="B23" s="16" t="n">
        <v>1.10235239995988</v>
      </c>
      <c r="C23" s="16" t="n">
        <v>0.972085043861374</v>
      </c>
      <c r="D23" s="38" t="n">
        <f aca="false">C23-B23</f>
        <v>-0.130267356098506</v>
      </c>
      <c r="E23" s="16" t="n">
        <v>8.58151154367652</v>
      </c>
      <c r="F23" s="16" t="n">
        <v>8.44160751479677</v>
      </c>
      <c r="G23" s="39" t="n">
        <f aca="false">IF(E23="","",ROUND(ROUND(F23,1)-ROUND(E23,1),1))</f>
        <v>-0.2</v>
      </c>
      <c r="H23" s="16" t="n">
        <v>1</v>
      </c>
      <c r="I23" s="16" t="n">
        <v>0.869732643901492</v>
      </c>
      <c r="J23" s="40" t="n">
        <f aca="false">IF(H23="","",ABS(ROUND(I23,1)-H23))</f>
        <v>0.1</v>
      </c>
      <c r="K23" s="40" t="n">
        <f aca="false">SUM(J$5:J23)</f>
        <v>3.7</v>
      </c>
      <c r="L23" s="29" t="s">
        <v>311</v>
      </c>
    </row>
    <row r="24" customFormat="false" ht="15" hidden="false" customHeight="true" outlineLevel="0" collapsed="false">
      <c r="A24" s="29" t="s">
        <v>316</v>
      </c>
      <c r="B24" s="16" t="n">
        <v>1.37360757588199</v>
      </c>
      <c r="C24" s="16" t="n">
        <v>1.25798349114784</v>
      </c>
      <c r="D24" s="38" t="n">
        <f aca="false">C24-B24</f>
        <v>-0.11562408473415</v>
      </c>
      <c r="E24" s="16" t="n">
        <v>9.05975796478415</v>
      </c>
      <c r="F24" s="16" t="n">
        <v>8.93536725799624</v>
      </c>
      <c r="G24" s="39" t="n">
        <f aca="false">IF(E24="","",ROUND(ROUND(F24,1)-ROUND(E24,1),1))</f>
        <v>-0.2</v>
      </c>
      <c r="H24" s="16" t="n">
        <v>1.3</v>
      </c>
      <c r="I24" s="16" t="n">
        <v>1.18437591526586</v>
      </c>
      <c r="J24" s="40" t="n">
        <f aca="false">IF(H24="","",ABS(ROUND(I24,1)-H24))</f>
        <v>0.1</v>
      </c>
      <c r="K24" s="40" t="n">
        <f aca="false">SUM(J$5:J24)</f>
        <v>3.8</v>
      </c>
      <c r="L24" s="29" t="s">
        <v>311</v>
      </c>
    </row>
    <row r="25" customFormat="false" ht="15" hidden="false" customHeight="true" outlineLevel="0" collapsed="false">
      <c r="A25" s="29" t="s">
        <v>317</v>
      </c>
      <c r="B25" s="16" t="n">
        <v>-0.0118119138337702</v>
      </c>
      <c r="C25" s="16" t="n">
        <v>0.212330431411927</v>
      </c>
      <c r="D25" s="38" t="n">
        <f aca="false">C25-B25</f>
        <v>0.224142345245697</v>
      </c>
      <c r="E25" s="16" t="n">
        <v>8.52481474562552</v>
      </c>
      <c r="F25" s="16" t="n">
        <v>8.76809354645225</v>
      </c>
      <c r="G25" s="39" t="n">
        <f aca="false">IF(E25="","",ROUND(ROUND(F25,1)-ROUND(E25,1),1))</f>
        <v>0.3</v>
      </c>
      <c r="H25" s="16" t="n">
        <v>0</v>
      </c>
      <c r="I25" s="16" t="n">
        <v>0.224142345245697</v>
      </c>
      <c r="J25" s="40" t="n">
        <f aca="false">IF(H25="","",ABS(ROUND(I25,1)-H25))</f>
        <v>0.2</v>
      </c>
      <c r="K25" s="40" t="n">
        <f aca="false">SUM(J$5:J25)</f>
        <v>4</v>
      </c>
      <c r="L25" s="29" t="s">
        <v>311</v>
      </c>
    </row>
    <row r="26" customFormat="false" ht="15" hidden="false" customHeight="true" outlineLevel="0" collapsed="false">
      <c r="A26" s="29" t="s">
        <v>318</v>
      </c>
      <c r="B26" s="16" t="n">
        <v>-0.0354399276350503</v>
      </c>
      <c r="C26" s="16" t="n">
        <v>0.0600280751224721</v>
      </c>
      <c r="D26" s="38" t="n">
        <f aca="false">C26-B26</f>
        <v>0.0954680027575224</v>
      </c>
      <c r="E26" s="16" t="n">
        <v>8.26269250311624</v>
      </c>
      <c r="F26" s="16" t="n">
        <v>8.36608537573971</v>
      </c>
      <c r="G26" s="39" t="n">
        <f aca="false">IF(E26="","",ROUND(ROUND(F26,1)-ROUND(E26,1),1))</f>
        <v>0.1</v>
      </c>
      <c r="H26" s="16" t="n">
        <v>0.1</v>
      </c>
      <c r="I26" s="16" t="n">
        <v>0.195468002757522</v>
      </c>
      <c r="J26" s="40" t="n">
        <f aca="false">IF(H26="","",ABS(ROUND(I26,1)-H26))</f>
        <v>0.1</v>
      </c>
      <c r="K26" s="40" t="n">
        <f aca="false">SUM(J$5:J26)</f>
        <v>4.1</v>
      </c>
      <c r="L26" s="29" t="s">
        <v>311</v>
      </c>
    </row>
    <row r="27" customFormat="false" ht="15" hidden="false" customHeight="true" outlineLevel="0" collapsed="false">
      <c r="A27" s="29" t="s">
        <v>319</v>
      </c>
      <c r="B27" s="16" t="n">
        <v>0.215078451300088</v>
      </c>
      <c r="C27" s="16" t="n">
        <v>0.354240505135092</v>
      </c>
      <c r="D27" s="38" t="n">
        <f aca="false">C27-B27</f>
        <v>0.139162053835004</v>
      </c>
      <c r="E27" s="16" t="n">
        <v>8.20166964383362</v>
      </c>
      <c r="F27" s="16" t="n">
        <v>8.35192214883294</v>
      </c>
      <c r="G27" s="39" t="n">
        <f aca="false">IF(E27="","",ROUND(ROUND(F27,1)-ROUND(E27,1),1))</f>
        <v>0.2</v>
      </c>
      <c r="H27" s="16" t="n">
        <v>0.4</v>
      </c>
      <c r="I27" s="16" t="n">
        <v>0.539162053835004</v>
      </c>
      <c r="J27" s="40" t="n">
        <f aca="false">IF(H27="","",ABS(ROUND(I27,1)-H27))</f>
        <v>0.1</v>
      </c>
      <c r="K27" s="40" t="n">
        <f aca="false">SUM(J$5:J27)</f>
        <v>4.2</v>
      </c>
      <c r="L27" s="29" t="s">
        <v>311</v>
      </c>
    </row>
    <row r="28" customFormat="false" ht="15" hidden="false" customHeight="true" outlineLevel="0" collapsed="false">
      <c r="A28" s="29" t="s">
        <v>320</v>
      </c>
      <c r="B28" s="16" t="n">
        <v>0.405649443411238</v>
      </c>
      <c r="C28" s="16" t="n">
        <v>0.628340169371015</v>
      </c>
      <c r="D28" s="38" t="n">
        <f aca="false">C28-B28</f>
        <v>0.222690725959777</v>
      </c>
      <c r="E28" s="16" t="n">
        <v>7.74542733080492</v>
      </c>
      <c r="F28" s="16" t="n">
        <v>7.98439702587837</v>
      </c>
      <c r="G28" s="39" t="n">
        <f aca="false">IF(E28="","",ROUND(ROUND(F28,1)-ROUND(E28,1),1))</f>
        <v>0.3</v>
      </c>
      <c r="H28" s="16" t="n">
        <v>0.4</v>
      </c>
      <c r="I28" s="16" t="n">
        <v>0.622690725959777</v>
      </c>
      <c r="J28" s="40" t="n">
        <f aca="false">IF(H28="","",ABS(ROUND(I28,1)-H28))</f>
        <v>0.2</v>
      </c>
      <c r="K28" s="40" t="n">
        <f aca="false">SUM(J$5:J28)</f>
        <v>4.4</v>
      </c>
      <c r="L28" s="29" t="s">
        <v>311</v>
      </c>
    </row>
    <row r="29" customFormat="false" ht="15" hidden="false" customHeight="true" outlineLevel="0" collapsed="false">
      <c r="A29" s="29" t="s">
        <v>321</v>
      </c>
      <c r="B29" s="16" t="n">
        <v>-0.101002644188819</v>
      </c>
      <c r="C29" s="16" t="n">
        <v>0.130131561840411</v>
      </c>
      <c r="D29" s="38" t="n">
        <f aca="false">C29-B29</f>
        <v>0.23113420602923</v>
      </c>
      <c r="E29" s="16" t="n">
        <v>7.11032279419173</v>
      </c>
      <c r="F29" s="16" t="n">
        <v>7.358141691997</v>
      </c>
      <c r="G29" s="39" t="n">
        <f aca="false">IF(E29="","",ROUND(ROUND(F29,1)-ROUND(E29,1),1))</f>
        <v>0.3</v>
      </c>
      <c r="H29" s="16" t="n">
        <v>0.1</v>
      </c>
      <c r="I29" s="16" t="n">
        <v>0.33113420602923</v>
      </c>
      <c r="J29" s="40" t="n">
        <f aca="false">IF(H29="","",ABS(ROUND(I29,1)-H29))</f>
        <v>0.2</v>
      </c>
      <c r="K29" s="40" t="n">
        <f aca="false">SUM(J$5:J29)</f>
        <v>4.6</v>
      </c>
      <c r="L29" s="29" t="s">
        <v>311</v>
      </c>
    </row>
    <row r="30" customFormat="false" ht="15" hidden="false" customHeight="true" outlineLevel="0" collapsed="false">
      <c r="A30" s="29" t="s">
        <v>322</v>
      </c>
      <c r="B30" s="16" t="n">
        <v>-0.307009146454107</v>
      </c>
      <c r="C30" s="16" t="n">
        <v>-0.259201196409668</v>
      </c>
      <c r="D30" s="38" t="n">
        <f aca="false">C30-B30</f>
        <v>0.047807950044439</v>
      </c>
      <c r="E30" s="16" t="n">
        <v>6.45440133141082</v>
      </c>
      <c r="F30" s="16" t="n">
        <v>6.50545172780568</v>
      </c>
      <c r="G30" s="39" t="n">
        <f aca="false">IF(E30="","",ROUND(ROUND(F30,1)-ROUND(E30,1),1))</f>
        <v>0</v>
      </c>
      <c r="H30" s="16" t="n">
        <v>-0.1</v>
      </c>
      <c r="I30" s="16" t="n">
        <v>-0.0521920499555608</v>
      </c>
      <c r="J30" s="40" t="n">
        <f aca="false">IF(H30="","",ABS(ROUND(I30,1)-H30))</f>
        <v>0</v>
      </c>
      <c r="K30" s="40" t="n">
        <f aca="false">SUM(J$5:J30)</f>
        <v>4.6</v>
      </c>
      <c r="L30" s="29" t="s">
        <v>311</v>
      </c>
    </row>
    <row r="31" customFormat="false" ht="15" hidden="false" customHeight="true" outlineLevel="0" collapsed="false">
      <c r="A31" s="29" t="s">
        <v>323</v>
      </c>
      <c r="B31" s="16" t="n">
        <v>0.799536383454003</v>
      </c>
      <c r="C31" s="16" t="n">
        <v>0.698085043501428</v>
      </c>
      <c r="D31" s="38" t="n">
        <f aca="false">C31-B31</f>
        <v>-0.101451339952575</v>
      </c>
      <c r="E31" s="16" t="n">
        <v>6.41014696885627</v>
      </c>
      <c r="F31" s="16" t="n">
        <v>6.30304873823071</v>
      </c>
      <c r="G31" s="39" t="n">
        <f aca="false">IF(E31="","",ROUND(ROUND(F31,1)-ROUND(E31,1),1))</f>
        <v>-0.1</v>
      </c>
      <c r="H31" s="16" t="n">
        <v>0.5</v>
      </c>
      <c r="I31" s="16" t="n">
        <v>0.398548660047425</v>
      </c>
      <c r="J31" s="40" t="n">
        <f aca="false">IF(H31="","",ABS(ROUND(I31,1)-H31))</f>
        <v>0.1</v>
      </c>
      <c r="K31" s="40" t="n">
        <f aca="false">SUM(J$5:J31)</f>
        <v>4.7</v>
      </c>
      <c r="L31" s="29" t="s">
        <v>324</v>
      </c>
    </row>
    <row r="32" customFormat="false" ht="15" hidden="false" customHeight="true" outlineLevel="0" collapsed="false">
      <c r="A32" s="29" t="s">
        <v>325</v>
      </c>
      <c r="B32" s="16" t="n">
        <v>0.558211050573232</v>
      </c>
      <c r="C32" s="16" t="n">
        <v>0.52793102444042</v>
      </c>
      <c r="D32" s="38" t="n">
        <f aca="false">C32-B32</f>
        <v>-0.030280026132812</v>
      </c>
      <c r="E32" s="16" t="n">
        <v>6.0356130778666</v>
      </c>
      <c r="F32" s="16" t="n">
        <v>6.00368369983306</v>
      </c>
      <c r="G32" s="39" t="n">
        <f aca="false">IF(E32="","",ROUND(ROUND(F32,1)-ROUND(E32,1),1))</f>
        <v>0</v>
      </c>
      <c r="H32" s="16" t="n">
        <v>0.4</v>
      </c>
      <c r="I32" s="16" t="n">
        <v>0.369719973867189</v>
      </c>
      <c r="J32" s="40" t="n">
        <f aca="false">IF(H32="","",ABS(ROUND(I32,1)-H32))</f>
        <v>0</v>
      </c>
      <c r="K32" s="40" t="n">
        <f aca="false">SUM(J$5:J32)</f>
        <v>4.7</v>
      </c>
      <c r="L32" s="29" t="s">
        <v>324</v>
      </c>
    </row>
    <row r="33" customFormat="false" ht="15" hidden="false" customHeight="true" outlineLevel="0" collapsed="false">
      <c r="A33" s="29" t="s">
        <v>326</v>
      </c>
      <c r="B33" s="16" t="n">
        <v>0.331072995612303</v>
      </c>
      <c r="C33" s="16" t="n">
        <v>0.397976788058434</v>
      </c>
      <c r="D33" s="38" t="n">
        <f aca="false">C33-B33</f>
        <v>0.066903792446131</v>
      </c>
      <c r="E33" s="16" t="n">
        <v>4.98497412209917</v>
      </c>
      <c r="F33" s="16" t="n">
        <v>5.05498127650221</v>
      </c>
      <c r="G33" s="39" t="n">
        <f aca="false">IF(E33="","",ROUND(ROUND(F33,1)-ROUND(E33,1),1))</f>
        <v>0.1</v>
      </c>
      <c r="H33" s="16" t="n">
        <v>0.1</v>
      </c>
      <c r="I33" s="16" t="n">
        <v>0.166903792446131</v>
      </c>
      <c r="J33" s="40" t="n">
        <f aca="false">IF(H33="","",ABS(ROUND(I33,1)-H33))</f>
        <v>0.1</v>
      </c>
      <c r="K33" s="40" t="n">
        <f aca="false">SUM(J$5:J33)</f>
        <v>4.8</v>
      </c>
      <c r="L33" s="29" t="s">
        <v>324</v>
      </c>
    </row>
    <row r="34" customFormat="false" ht="15" hidden="false" customHeight="true" outlineLevel="0" collapsed="false">
      <c r="A34" s="29" t="s">
        <v>327</v>
      </c>
      <c r="B34" s="16" t="n">
        <v>0.505903868325852</v>
      </c>
      <c r="C34" s="16" t="n">
        <v>0.486805980181891</v>
      </c>
      <c r="D34" s="38" t="n">
        <f aca="false">C34-B34</f>
        <v>-0.019097888143961</v>
      </c>
      <c r="E34" s="16" t="n">
        <v>4.93032039818895</v>
      </c>
      <c r="F34" s="16" t="n">
        <v>4.9103817931444</v>
      </c>
      <c r="G34" s="39" t="n">
        <f aca="false">IF(E34="","",ROUND(ROUND(F34,1)-ROUND(E34,1),1))</f>
        <v>0</v>
      </c>
      <c r="H34" s="16" t="n">
        <v>0.4</v>
      </c>
      <c r="I34" s="16" t="n">
        <v>0.380902111856039</v>
      </c>
      <c r="J34" s="40" t="n">
        <f aca="false">IF(H34="","",ABS(ROUND(I34,1)-H34))</f>
        <v>0</v>
      </c>
      <c r="K34" s="40" t="n">
        <f aca="false">SUM(J$5:J34)</f>
        <v>4.8</v>
      </c>
      <c r="L34" s="29" t="s">
        <v>324</v>
      </c>
    </row>
    <row r="35" customFormat="false" ht="15" hidden="false" customHeight="true" outlineLevel="0" collapsed="false">
      <c r="A35" s="29" t="s">
        <v>328</v>
      </c>
      <c r="B35" s="16" t="n">
        <v>0.251843501020233</v>
      </c>
      <c r="C35" s="16" t="n">
        <v>0.322287301204609</v>
      </c>
      <c r="D35" s="38" t="n">
        <f aca="false">C35-B35</f>
        <v>0.070443800184376</v>
      </c>
      <c r="E35" s="16" t="n">
        <v>4.04760927279197</v>
      </c>
      <c r="F35" s="16" t="n">
        <v>4.12072023755143</v>
      </c>
      <c r="G35" s="39" t="n">
        <f aca="false">IF(E35="","",ROUND(ROUND(F35,1)-ROUND(E35,1),1))</f>
        <v>0.1</v>
      </c>
      <c r="H35" s="16" t="n">
        <v>0.1</v>
      </c>
      <c r="I35" s="16" t="n">
        <v>0.170443800184377</v>
      </c>
      <c r="J35" s="40" t="n">
        <f aca="false">IF(H35="","",ABS(ROUND(I35,1)-H35))</f>
        <v>0.1</v>
      </c>
      <c r="K35" s="40" t="n">
        <f aca="false">SUM(J$5:J35)</f>
        <v>4.9</v>
      </c>
      <c r="L35" s="29" t="s">
        <v>324</v>
      </c>
    </row>
    <row r="36" customFormat="false" ht="15" hidden="false" customHeight="true" outlineLevel="0" collapsed="false">
      <c r="A36" s="29" t="s">
        <v>329</v>
      </c>
      <c r="B36" s="16" t="n">
        <v>0.322891423648652</v>
      </c>
      <c r="C36" s="16" t="n">
        <v>0.424602287277838</v>
      </c>
      <c r="D36" s="38" t="n">
        <f aca="false">C36-B36</f>
        <v>0.101710863629186</v>
      </c>
      <c r="E36" s="16" t="n">
        <v>2.96917765455886</v>
      </c>
      <c r="F36" s="16" t="n">
        <v>3.07357141592093</v>
      </c>
      <c r="G36" s="39" t="n">
        <f aca="false">IF(E36="","",ROUND(ROUND(F36,1)-ROUND(E36,1),1))</f>
        <v>0.1</v>
      </c>
      <c r="H36" s="16" t="n">
        <v>0.2</v>
      </c>
      <c r="I36" s="16" t="n">
        <v>0.301710863629185</v>
      </c>
      <c r="J36" s="40" t="n">
        <f aca="false">IF(H36="","",ABS(ROUND(I36,1)-H36))</f>
        <v>0.1</v>
      </c>
      <c r="K36" s="40" t="n">
        <f aca="false">SUM(J$5:J36)</f>
        <v>5</v>
      </c>
      <c r="L36" s="29" t="s">
        <v>324</v>
      </c>
    </row>
    <row r="37" customFormat="false" ht="15" hidden="false" customHeight="true" outlineLevel="0" collapsed="false">
      <c r="A37" s="29" t="s">
        <v>330</v>
      </c>
      <c r="B37" s="16" t="n">
        <v>0.190751501922271</v>
      </c>
      <c r="C37" s="16" t="n">
        <v>0.186955331791899</v>
      </c>
      <c r="D37" s="38" t="n">
        <f aca="false">C37-B37</f>
        <v>-0.00379617013037201</v>
      </c>
      <c r="E37" s="16" t="n">
        <v>3.17778017794217</v>
      </c>
      <c r="F37" s="16" t="n">
        <v>3.17387083100786</v>
      </c>
      <c r="G37" s="39" t="n">
        <f aca="false">IF(E37="","",ROUND(ROUND(F37,1)-ROUND(E37,1),1))</f>
        <v>0</v>
      </c>
      <c r="H37" s="16" t="n">
        <v>0.2</v>
      </c>
      <c r="I37" s="16" t="n">
        <v>0.196203829869628</v>
      </c>
      <c r="J37" s="40" t="n">
        <f aca="false">IF(H37="","",ABS(ROUND(I37,1)-H37))</f>
        <v>0</v>
      </c>
      <c r="K37" s="40" t="n">
        <f aca="false">SUM(J$5:J37)</f>
        <v>5</v>
      </c>
      <c r="L37" s="29" t="s">
        <v>324</v>
      </c>
    </row>
    <row r="38" customFormat="false" ht="15" hidden="false" customHeight="true" outlineLevel="0" collapsed="false">
      <c r="A38" s="29" t="s">
        <v>331</v>
      </c>
      <c r="B38" s="16" t="n">
        <v>0.43671550683535</v>
      </c>
      <c r="C38" s="16" t="n">
        <v>0.517475792781998</v>
      </c>
      <c r="D38" s="38" t="n">
        <f aca="false">C38-B38</f>
        <v>0.080760285946648</v>
      </c>
      <c r="E38" s="16" t="n">
        <v>3.66511238439955</v>
      </c>
      <c r="F38" s="16" t="n">
        <v>3.74846859608577</v>
      </c>
      <c r="G38" s="39" t="n">
        <f aca="false">IF(E38="","",ROUND(ROUND(F38,1)-ROUND(E38,1),1))</f>
        <v>0</v>
      </c>
      <c r="H38" s="16" t="n">
        <v>0.6</v>
      </c>
      <c r="I38" s="16" t="n">
        <v>0.680760285946648</v>
      </c>
      <c r="J38" s="40" t="n">
        <f aca="false">IF(H38="","",ABS(ROUND(I38,1)-H38))</f>
        <v>0.1</v>
      </c>
      <c r="K38" s="40" t="n">
        <f aca="false">SUM(J$5:J38)</f>
        <v>5.1</v>
      </c>
      <c r="L38" s="29" t="s">
        <v>324</v>
      </c>
    </row>
    <row r="39" customFormat="false" ht="15" hidden="false" customHeight="true" outlineLevel="0" collapsed="false">
      <c r="A39" s="29" t="s">
        <v>332</v>
      </c>
      <c r="B39" s="16" t="n">
        <v>0.248513155237662</v>
      </c>
      <c r="C39" s="16" t="n">
        <v>0.2814619944345</v>
      </c>
      <c r="D39" s="38" t="n">
        <f aca="false">C39-B39</f>
        <v>0.032948839196838</v>
      </c>
      <c r="E39" s="16" t="n">
        <v>3.69969812134443</v>
      </c>
      <c r="F39" s="16" t="n">
        <v>3.73378126702533</v>
      </c>
      <c r="G39" s="39" t="n">
        <f aca="false">IF(E39="","",ROUND(ROUND(F39,1)-ROUND(E39,1),1))</f>
        <v>0</v>
      </c>
      <c r="H39" s="16" t="n">
        <v>0.4</v>
      </c>
      <c r="I39" s="16" t="n">
        <v>0.432948839196838</v>
      </c>
      <c r="J39" s="40" t="n">
        <f aca="false">IF(H39="","",ABS(ROUND(I39,1)-H39))</f>
        <v>0</v>
      </c>
      <c r="K39" s="40" t="n">
        <f aca="false">SUM(J$5:J39)</f>
        <v>5.1</v>
      </c>
      <c r="L39" s="29" t="s">
        <v>324</v>
      </c>
    </row>
    <row r="40" customFormat="false" ht="15" hidden="false" customHeight="true" outlineLevel="0" collapsed="false">
      <c r="A40" s="29" t="s">
        <v>333</v>
      </c>
      <c r="B40" s="16" t="n">
        <v>-0.0383379522984839</v>
      </c>
      <c r="C40" s="16" t="n">
        <v>-0.0597847014597581</v>
      </c>
      <c r="D40" s="38" t="n">
        <f aca="false">C40-B40</f>
        <v>-0.0214467491612742</v>
      </c>
      <c r="E40" s="16" t="n">
        <v>3.2411446518932</v>
      </c>
      <c r="F40" s="16" t="n">
        <v>3.21899429057355</v>
      </c>
      <c r="G40" s="39" t="n">
        <f aca="false">IF(E40="","",ROUND(ROUND(F40,1)-ROUND(E40,1),1))</f>
        <v>0</v>
      </c>
      <c r="H40" s="16" t="n">
        <v>0</v>
      </c>
      <c r="I40" s="16" t="n">
        <v>-0.0214467491612741</v>
      </c>
      <c r="J40" s="40" t="n">
        <f aca="false">IF(H40="","",ABS(ROUND(I40,1)-H40))</f>
        <v>0</v>
      </c>
      <c r="K40" s="40" t="n">
        <f aca="false">SUM(J$5:J40)</f>
        <v>5.1</v>
      </c>
      <c r="L40" s="29" t="s">
        <v>324</v>
      </c>
    </row>
    <row r="41" customFormat="false" ht="15" hidden="false" customHeight="true" outlineLevel="0" collapsed="false">
      <c r="A41" s="29" t="s">
        <v>334</v>
      </c>
      <c r="B41" s="16" t="n">
        <v>-0.20151395484137</v>
      </c>
      <c r="C41" s="16" t="n">
        <v>-0.232259450645185</v>
      </c>
      <c r="D41" s="38" t="n">
        <f aca="false">C41-B41</f>
        <v>-0.030745495803815</v>
      </c>
      <c r="E41" s="16" t="n">
        <v>3.13727070884178</v>
      </c>
      <c r="F41" s="16" t="n">
        <v>3.10549661436945</v>
      </c>
      <c r="G41" s="39" t="n">
        <f aca="false">IF(E41="","",ROUND(ROUND(F41,1)-ROUND(E41,1),1))</f>
        <v>0</v>
      </c>
      <c r="H41" s="16" t="n">
        <v>0.1</v>
      </c>
      <c r="I41" s="16" t="n">
        <v>0.0692545041961857</v>
      </c>
      <c r="J41" s="40" t="n">
        <f aca="false">IF(H41="","",ABS(ROUND(I41,1)-H41))</f>
        <v>0</v>
      </c>
      <c r="K41" s="40" t="n">
        <f aca="false">SUM(J$5:J41)</f>
        <v>5.1</v>
      </c>
      <c r="L41" s="29" t="s">
        <v>324</v>
      </c>
    </row>
    <row r="42" customFormat="false" ht="15" hidden="false" customHeight="true" outlineLevel="0" collapsed="false">
      <c r="A42" s="29" t="s">
        <v>335</v>
      </c>
      <c r="B42" s="16" t="n">
        <v>-0.0993320327893454</v>
      </c>
      <c r="C42" s="16" t="n">
        <v>-0.0362660378330863</v>
      </c>
      <c r="D42" s="38" t="n">
        <f aca="false">C42-B42</f>
        <v>0.0630659949562591</v>
      </c>
      <c r="E42" s="16" t="n">
        <v>3.35212283143023</v>
      </c>
      <c r="F42" s="16" t="n">
        <v>3.41736768504166</v>
      </c>
      <c r="G42" s="39" t="n">
        <f aca="false">IF(E42="","",ROUND(ROUND(F42,1)-ROUND(E42,1),1))</f>
        <v>0</v>
      </c>
      <c r="H42" s="16" t="n">
        <v>0.3</v>
      </c>
      <c r="I42" s="16" t="n">
        <v>0.363065994956259</v>
      </c>
      <c r="J42" s="40" t="n">
        <f aca="false">IF(H42="","",ABS(ROUND(I42,1)-H42))</f>
        <v>0.1</v>
      </c>
      <c r="K42" s="40" t="n">
        <f aca="false">SUM(J$5:J42)</f>
        <v>5.2</v>
      </c>
      <c r="L42" s="29" t="s">
        <v>324</v>
      </c>
    </row>
    <row r="43" customFormat="false" ht="15" hidden="false" customHeight="true" outlineLevel="0" collapsed="false">
      <c r="A43" s="29" t="s">
        <v>336</v>
      </c>
      <c r="B43" s="16" t="n">
        <v>0.544750379793046</v>
      </c>
      <c r="C43" s="16" t="n">
        <v>0.464132275030735</v>
      </c>
      <c r="D43" s="38" t="n">
        <f aca="false">C43-B43</f>
        <v>-0.080618104762311</v>
      </c>
      <c r="E43" s="16" t="n">
        <v>3.09088478122805</v>
      </c>
      <c r="F43" s="16" t="n">
        <v>3.00822515237682</v>
      </c>
      <c r="G43" s="39" t="n">
        <f aca="false">IF(E43="","",ROUND(ROUND(F43,1)-ROUND(E43,1),1))</f>
        <v>-0.1</v>
      </c>
      <c r="H43" s="16" t="n">
        <v>0.3</v>
      </c>
      <c r="I43" s="16" t="n">
        <v>0.219381895237689</v>
      </c>
      <c r="J43" s="40" t="n">
        <f aca="false">IF(H43="","",ABS(ROUND(I43,1)-H43))</f>
        <v>0.1</v>
      </c>
      <c r="K43" s="40" t="n">
        <f aca="false">SUM(J$5:J43)</f>
        <v>5.3</v>
      </c>
      <c r="L43" s="29" t="s">
        <v>337</v>
      </c>
    </row>
    <row r="44" customFormat="false" ht="15" hidden="false" customHeight="true" outlineLevel="0" collapsed="false">
      <c r="A44" s="29" t="s">
        <v>338</v>
      </c>
      <c r="B44" s="16" t="n">
        <v>0.618967177555074</v>
      </c>
      <c r="C44" s="16" t="n">
        <v>0.62401079317849</v>
      </c>
      <c r="D44" s="38" t="n">
        <f aca="false">C44-B44</f>
        <v>0.00504361562341593</v>
      </c>
      <c r="E44" s="16" t="n">
        <v>3.1531711208616</v>
      </c>
      <c r="F44" s="16" t="n">
        <v>3.15834176572174</v>
      </c>
      <c r="G44" s="39" t="n">
        <f aca="false">IF(E44="","",ROUND(ROUND(F44,1)-ROUND(E44,1),1))</f>
        <v>0</v>
      </c>
      <c r="H44" s="16" t="n">
        <v>0.4</v>
      </c>
      <c r="I44" s="16" t="n">
        <v>0.405043615623416</v>
      </c>
      <c r="J44" s="40" t="n">
        <f aca="false">IF(H44="","",ABS(ROUND(I44,1)-H44))</f>
        <v>0</v>
      </c>
      <c r="K44" s="40" t="n">
        <f aca="false">SUM(J$5:J44)</f>
        <v>5.3</v>
      </c>
      <c r="L44" s="29" t="s">
        <v>337</v>
      </c>
    </row>
    <row r="45" customFormat="false" ht="15" hidden="false" customHeight="true" outlineLevel="0" collapsed="false">
      <c r="A45" s="29" t="s">
        <v>339</v>
      </c>
      <c r="B45" s="16" t="n">
        <v>0.646416993742061</v>
      </c>
      <c r="C45" s="16" t="n">
        <v>0.561832558905824</v>
      </c>
      <c r="D45" s="38" t="n">
        <f aca="false">C45-B45</f>
        <v>-0.084584434836237</v>
      </c>
      <c r="E45" s="16" t="n">
        <v>3.47738507003803</v>
      </c>
      <c r="F45" s="16" t="n">
        <v>3.390421456271</v>
      </c>
      <c r="G45" s="39" t="n">
        <f aca="false">IF(E45="","",ROUND(ROUND(F45,1)-ROUND(E45,1),1))</f>
        <v>-0.1</v>
      </c>
      <c r="H45" s="16" t="n">
        <v>0.4</v>
      </c>
      <c r="I45" s="16" t="n">
        <v>0.315415565163763</v>
      </c>
      <c r="J45" s="40" t="n">
        <f aca="false">IF(H45="","",ABS(ROUND(I45,1)-H45))</f>
        <v>0.1</v>
      </c>
      <c r="K45" s="40" t="n">
        <f aca="false">SUM(J$5:J45)</f>
        <v>5.4</v>
      </c>
      <c r="L45" s="29" t="s">
        <v>337</v>
      </c>
    </row>
    <row r="46" customFormat="false" ht="15" hidden="false" customHeight="true" outlineLevel="0" collapsed="false">
      <c r="A46" s="29" t="s">
        <v>340</v>
      </c>
      <c r="B46" s="16" t="n">
        <v>0.389329303433539</v>
      </c>
      <c r="C46" s="16" t="n">
        <v>0.506212197069757</v>
      </c>
      <c r="D46" s="38" t="n">
        <f aca="false">C46-B46</f>
        <v>0.116882893636218</v>
      </c>
      <c r="E46" s="16" t="n">
        <v>3.35736395011919</v>
      </c>
      <c r="F46" s="16" t="n">
        <v>3.47770251459536</v>
      </c>
      <c r="G46" s="39" t="n">
        <f aca="false">IF(E46="","",ROUND(ROUND(F46,1)-ROUND(E46,1),1))</f>
        <v>0.1</v>
      </c>
      <c r="H46" s="16" t="n">
        <v>0.3</v>
      </c>
      <c r="I46" s="16" t="n">
        <v>0.416882893636218</v>
      </c>
      <c r="J46" s="40" t="n">
        <f aca="false">IF(H46="","",ABS(ROUND(I46,1)-H46))</f>
        <v>0.1</v>
      </c>
      <c r="K46" s="40" t="n">
        <f aca="false">SUM(J$5:J46)</f>
        <v>5.5</v>
      </c>
      <c r="L46" s="29" t="s">
        <v>337</v>
      </c>
    </row>
    <row r="47" customFormat="false" ht="15" hidden="false" customHeight="true" outlineLevel="0" collapsed="false">
      <c r="A47" s="29" t="s">
        <v>341</v>
      </c>
      <c r="B47" s="16" t="n">
        <v>0.166162756579547</v>
      </c>
      <c r="C47" s="16" t="n">
        <v>0.326056070207048</v>
      </c>
      <c r="D47" s="38" t="n">
        <f aca="false">C47-B47</f>
        <v>0.159893313627501</v>
      </c>
      <c r="E47" s="16" t="n">
        <v>3.26902905694002</v>
      </c>
      <c r="F47" s="16" t="n">
        <v>3.43387541619544</v>
      </c>
      <c r="G47" s="39" t="n">
        <f aca="false">IF(E47="","",ROUND(ROUND(F47,1)-ROUND(E47,1),1))</f>
        <v>0.1</v>
      </c>
      <c r="H47" s="16" t="n">
        <v>0</v>
      </c>
      <c r="I47" s="16" t="n">
        <v>0.159893313627501</v>
      </c>
      <c r="J47" s="40" t="n">
        <f aca="false">IF(H47="","",ABS(ROUND(I47,1)-H47))</f>
        <v>0.2</v>
      </c>
      <c r="K47" s="40" t="n">
        <f aca="false">SUM(J$5:J47)</f>
        <v>5.7</v>
      </c>
      <c r="L47" s="29" t="s">
        <v>337</v>
      </c>
    </row>
    <row r="48" customFormat="false" ht="15" hidden="false" customHeight="true" outlineLevel="0" collapsed="false">
      <c r="A48" s="29" t="s">
        <v>342</v>
      </c>
      <c r="B48" s="16" t="n">
        <v>0.0337505452623343</v>
      </c>
      <c r="C48" s="16" t="n">
        <v>0.177614721929939</v>
      </c>
      <c r="D48" s="38" t="n">
        <f aca="false">C48-B48</f>
        <v>0.143864176667605</v>
      </c>
      <c r="E48" s="16" t="n">
        <v>2.97139710726331</v>
      </c>
      <c r="F48" s="16" t="n">
        <v>3.11948607907933</v>
      </c>
      <c r="G48" s="39" t="n">
        <f aca="false">IF(E48="","",ROUND(ROUND(F48,1)-ROUND(E48,1),1))</f>
        <v>0.1</v>
      </c>
      <c r="H48" s="16" t="n">
        <v>-0.1</v>
      </c>
      <c r="I48" s="16" t="n">
        <v>0.0438641766676049</v>
      </c>
      <c r="J48" s="40" t="n">
        <f aca="false">IF(H48="","",ABS(ROUND(I48,1)-H48))</f>
        <v>0.1</v>
      </c>
      <c r="K48" s="40" t="n">
        <f aca="false">SUM(J$5:J48)</f>
        <v>5.8</v>
      </c>
      <c r="L48" s="29" t="s">
        <v>337</v>
      </c>
    </row>
    <row r="49" customFormat="false" ht="15" hidden="false" customHeight="true" outlineLevel="0" collapsed="false">
      <c r="A49" s="29" t="s">
        <v>343</v>
      </c>
      <c r="B49" s="16" t="n">
        <v>0.11617728972706</v>
      </c>
      <c r="C49" s="16" t="n">
        <v>0.129208249632421</v>
      </c>
      <c r="D49" s="38" t="n">
        <f aca="false">C49-B49</f>
        <v>0.013030959905361</v>
      </c>
      <c r="E49" s="16" t="n">
        <v>2.89475319849131</v>
      </c>
      <c r="F49" s="16" t="n">
        <v>2.90814581334837</v>
      </c>
      <c r="G49" s="39" t="n">
        <f aca="false">IF(E49="","",ROUND(ROUND(F49,1)-ROUND(E49,1),1))</f>
        <v>0</v>
      </c>
      <c r="H49" s="16" t="n">
        <v>0.2</v>
      </c>
      <c r="I49" s="16" t="n">
        <v>0.213030959905361</v>
      </c>
      <c r="J49" s="40" t="n">
        <f aca="false">IF(H49="","",ABS(ROUND(I49,1)-H49))</f>
        <v>0</v>
      </c>
      <c r="K49" s="40" t="n">
        <f aca="false">SUM(J$5:J49)</f>
        <v>5.8</v>
      </c>
      <c r="L49" s="29" t="s">
        <v>337</v>
      </c>
    </row>
    <row r="50" customFormat="false" ht="15" hidden="false" customHeight="true" outlineLevel="0" collapsed="false">
      <c r="A50" s="29" t="s">
        <v>344</v>
      </c>
      <c r="B50" s="16" t="n">
        <v>0.0813886946016362</v>
      </c>
      <c r="C50" s="16" t="n">
        <v>0.107524024138629</v>
      </c>
      <c r="D50" s="38" t="n">
        <f aca="false">C50-B50</f>
        <v>0.0261353295369928</v>
      </c>
      <c r="E50" s="16" t="n">
        <v>2.53073029645696</v>
      </c>
      <c r="F50" s="16" t="n">
        <v>2.55750524891236</v>
      </c>
      <c r="G50" s="39" t="n">
        <f aca="false">IF(E50="","",ROUND(ROUND(F50,1)-ROUND(E50,1),1))</f>
        <v>0.1</v>
      </c>
      <c r="H50" s="16" t="n">
        <v>0.2</v>
      </c>
      <c r="I50" s="16" t="n">
        <v>0.226135329536993</v>
      </c>
      <c r="J50" s="40" t="n">
        <f aca="false">IF(H50="","",ABS(ROUND(I50,1)-H50))</f>
        <v>0</v>
      </c>
      <c r="K50" s="40" t="n">
        <f aca="false">SUM(J$5:J50)</f>
        <v>5.8</v>
      </c>
      <c r="L50" s="29" t="s">
        <v>337</v>
      </c>
    </row>
    <row r="51" customFormat="false" ht="15" hidden="false" customHeight="true" outlineLevel="0" collapsed="false">
      <c r="A51" s="29" t="s">
        <v>345</v>
      </c>
      <c r="B51" s="16" t="n">
        <v>0.160421352240814</v>
      </c>
      <c r="C51" s="16" t="n">
        <v>0.0316962241624209</v>
      </c>
      <c r="D51" s="38" t="n">
        <f aca="false">C51-B51</f>
        <v>-0.128725128078393</v>
      </c>
      <c r="E51" s="16" t="n">
        <v>2.44063303106998</v>
      </c>
      <c r="F51" s="16" t="n">
        <v>2.3089773987421</v>
      </c>
      <c r="G51" s="39" t="n">
        <f aca="false">IF(E51="","",ROUND(ROUND(F51,1)-ROUND(E51,1),1))</f>
        <v>-0.1</v>
      </c>
      <c r="H51" s="16" t="n">
        <v>0.2</v>
      </c>
      <c r="I51" s="16" t="n">
        <v>0.0712748719216071</v>
      </c>
      <c r="J51" s="40" t="n">
        <f aca="false">IF(H51="","",ABS(ROUND(I51,1)-H51))</f>
        <v>0.1</v>
      </c>
      <c r="K51" s="40" t="n">
        <f aca="false">SUM(J$5:J51)</f>
        <v>5.9</v>
      </c>
      <c r="L51" s="29" t="s">
        <v>337</v>
      </c>
    </row>
    <row r="52" customFormat="false" ht="15" hidden="false" customHeight="true" outlineLevel="0" collapsed="false">
      <c r="A52" s="29" t="s">
        <v>346</v>
      </c>
      <c r="B52" s="16" t="n">
        <v>0.115128083957861</v>
      </c>
      <c r="C52" s="16" t="n">
        <v>0.0474653064708076</v>
      </c>
      <c r="D52" s="38" t="n">
        <f aca="false">C52-B52</f>
        <v>-0.0676627774870534</v>
      </c>
      <c r="E52" s="16" t="n">
        <v>2.59790490491467</v>
      </c>
      <c r="F52" s="16" t="n">
        <v>2.52856414350249</v>
      </c>
      <c r="G52" s="39" t="n">
        <f aca="false">IF(E52="","",ROUND(ROUND(F52,1)-ROUND(E52,1),1))</f>
        <v>-0.1</v>
      </c>
      <c r="H52" s="16" t="n">
        <v>0.2</v>
      </c>
      <c r="I52" s="16" t="n">
        <v>0.132337222512947</v>
      </c>
      <c r="J52" s="40" t="n">
        <f aca="false">IF(H52="","",ABS(ROUND(I52,1)-H52))</f>
        <v>0.1</v>
      </c>
      <c r="K52" s="40" t="n">
        <f aca="false">SUM(J$5:J52)</f>
        <v>6</v>
      </c>
      <c r="L52" s="29" t="s">
        <v>337</v>
      </c>
    </row>
    <row r="53" customFormat="false" ht="15" hidden="false" customHeight="true" outlineLevel="0" collapsed="false">
      <c r="A53" s="29" t="s">
        <v>347</v>
      </c>
      <c r="B53" s="16" t="n">
        <v>-0.0541715241522578</v>
      </c>
      <c r="C53" s="16" t="n">
        <v>-0.0477517654484507</v>
      </c>
      <c r="D53" s="38" t="n">
        <f aca="false">C53-B53</f>
        <v>0.0064197587038071</v>
      </c>
      <c r="E53" s="16" t="n">
        <v>2.74938039609056</v>
      </c>
      <c r="F53" s="16" t="n">
        <v>2.75598023361423</v>
      </c>
      <c r="G53" s="39" t="n">
        <f aca="false">IF(E53="","",ROUND(ROUND(F53,1)-ROUND(E53,1),1))</f>
        <v>0.1</v>
      </c>
      <c r="H53" s="16" t="n">
        <v>0.3</v>
      </c>
      <c r="I53" s="16" t="n">
        <v>0.306419758703807</v>
      </c>
      <c r="J53" s="40" t="n">
        <f aca="false">IF(H53="","",ABS(ROUND(I53,1)-H53))</f>
        <v>0</v>
      </c>
      <c r="K53" s="40" t="n">
        <f aca="false">SUM(J$5:J53)</f>
        <v>6</v>
      </c>
      <c r="L53" s="29" t="s">
        <v>337</v>
      </c>
    </row>
    <row r="54" customFormat="false" ht="15" hidden="false" customHeight="true" outlineLevel="0" collapsed="false">
      <c r="A54" s="29" t="s">
        <v>348</v>
      </c>
      <c r="B54" s="16" t="n">
        <v>0.035499995245547</v>
      </c>
      <c r="C54" s="16" t="n">
        <v>0.0707766423963109</v>
      </c>
      <c r="D54" s="38" t="n">
        <f aca="false">C54-B54</f>
        <v>0.0352766471507639</v>
      </c>
      <c r="E54" s="16" t="n">
        <v>2.88805721998007</v>
      </c>
      <c r="F54" s="16" t="n">
        <v>2.92433979657287</v>
      </c>
      <c r="G54" s="39" t="n">
        <f aca="false">IF(E54="","",ROUND(ROUND(F54,1)-ROUND(E54,1),1))</f>
        <v>0</v>
      </c>
      <c r="H54" s="16" t="n">
        <v>0.4</v>
      </c>
      <c r="I54" s="16" t="n">
        <v>0.435276647150764</v>
      </c>
      <c r="J54" s="40" t="n">
        <f aca="false">IF(H54="","",ABS(ROUND(I54,1)-H54))</f>
        <v>0</v>
      </c>
      <c r="K54" s="40" t="n">
        <f aca="false">SUM(J$5:J54)</f>
        <v>6</v>
      </c>
      <c r="L54" s="29" t="s">
        <v>337</v>
      </c>
    </row>
    <row r="55" customFormat="false" ht="15" hidden="false" customHeight="true" outlineLevel="0" collapsed="false">
      <c r="A55" s="29" t="s">
        <v>349</v>
      </c>
      <c r="B55" s="16" t="n">
        <v>0.654615738026965</v>
      </c>
      <c r="C55" s="16" t="n">
        <v>0.567791368942631</v>
      </c>
      <c r="D55" s="38" t="n">
        <f aca="false">C55-B55</f>
        <v>-0.086824369084334</v>
      </c>
      <c r="E55" s="16" t="n">
        <v>3.00048311215011</v>
      </c>
      <c r="F55" s="16" t="n">
        <v>2.91163520491784</v>
      </c>
      <c r="G55" s="39" t="n">
        <f aca="false">IF(E55="","",ROUND(ROUND(F55,1)-ROUND(E55,1),1))</f>
        <v>-0.1</v>
      </c>
      <c r="H55" s="16" t="n">
        <v>0.5</v>
      </c>
      <c r="I55" s="16" t="n">
        <v>0.413175630915667</v>
      </c>
      <c r="J55" s="40" t="n">
        <f aca="false">IF(H55="","",ABS(ROUND(I55,1)-H55))</f>
        <v>0.1</v>
      </c>
      <c r="K55" s="40" t="n">
        <f aca="false">SUM(J$5:J55)</f>
        <v>6.1</v>
      </c>
      <c r="L55" s="29" t="s">
        <v>350</v>
      </c>
    </row>
    <row r="56" customFormat="false" ht="15" hidden="false" customHeight="true" outlineLevel="0" collapsed="false">
      <c r="A56" s="29" t="s">
        <v>351</v>
      </c>
      <c r="B56" s="16" t="n">
        <v>0.444170226429241</v>
      </c>
      <c r="C56" s="16" t="n">
        <v>0.499187767204782</v>
      </c>
      <c r="D56" s="38" t="n">
        <f aca="false">C56-B56</f>
        <v>0.055017540775541</v>
      </c>
      <c r="E56" s="16" t="n">
        <v>2.82154895174753</v>
      </c>
      <c r="F56" s="16" t="n">
        <v>2.87786868388633</v>
      </c>
      <c r="G56" s="39" t="n">
        <f aca="false">IF(E56="","",ROUND(ROUND(F56,1)-ROUND(E56,1),1))</f>
        <v>0.1</v>
      </c>
      <c r="H56" s="16" t="n">
        <v>0.2</v>
      </c>
      <c r="I56" s="16" t="n">
        <v>0.255017540775541</v>
      </c>
      <c r="J56" s="40" t="n">
        <f aca="false">IF(H56="","",ABS(ROUND(I56,1)-H56))</f>
        <v>0.1</v>
      </c>
      <c r="K56" s="40" t="n">
        <f aca="false">SUM(J$5:J56)</f>
        <v>6.2</v>
      </c>
      <c r="L56" s="29" t="s">
        <v>350</v>
      </c>
    </row>
    <row r="57" customFormat="false" ht="15" hidden="false" customHeight="true" outlineLevel="0" collapsed="false">
      <c r="A57" s="29" t="s">
        <v>352</v>
      </c>
      <c r="B57" s="16" t="n">
        <v>0.224707128575097</v>
      </c>
      <c r="C57" s="16" t="n">
        <v>0.299935963080259</v>
      </c>
      <c r="D57" s="38" t="n">
        <f aca="false">C57-B57</f>
        <v>0.075228834505162</v>
      </c>
      <c r="E57" s="16" t="n">
        <v>2.3907252538965</v>
      </c>
      <c r="F57" s="16" t="n">
        <v>2.46757990526612</v>
      </c>
      <c r="G57" s="39" t="n">
        <f aca="false">IF(E57="","",ROUND(ROUND(F57,1)-ROUND(E57,1),1))</f>
        <v>0.1</v>
      </c>
      <c r="H57" s="16" t="n">
        <v>-0.1</v>
      </c>
      <c r="I57" s="16" t="n">
        <v>-0.0247711654948374</v>
      </c>
      <c r="J57" s="40" t="n">
        <f aca="false">IF(H57="","",ABS(ROUND(I57,1)-H57))</f>
        <v>0.1</v>
      </c>
      <c r="K57" s="40" t="n">
        <f aca="false">SUM(J$5:J57)</f>
        <v>6.3</v>
      </c>
      <c r="L57" s="29" t="s">
        <v>350</v>
      </c>
    </row>
    <row r="58" customFormat="false" ht="15" hidden="false" customHeight="true" outlineLevel="0" collapsed="false">
      <c r="A58" s="29" t="s">
        <v>353</v>
      </c>
      <c r="B58" s="16" t="n">
        <v>0.311445626784335</v>
      </c>
      <c r="C58" s="16" t="n">
        <v>0.343614503086402</v>
      </c>
      <c r="D58" s="38" t="n">
        <f aca="false">C58-B58</f>
        <v>0.032168876302067</v>
      </c>
      <c r="E58" s="16" t="n">
        <v>2.31128886167349</v>
      </c>
      <c r="F58" s="16" t="n">
        <v>2.34409906767872</v>
      </c>
      <c r="G58" s="39" t="n">
        <f aca="false">IF(E58="","",ROUND(ROUND(F58,1)-ROUND(E58,1),1))</f>
        <v>0</v>
      </c>
      <c r="H58" s="16" t="n">
        <v>0.2</v>
      </c>
      <c r="I58" s="16" t="n">
        <v>0.232168876302068</v>
      </c>
      <c r="J58" s="40" t="n">
        <f aca="false">IF(H58="","",ABS(ROUND(I58,1)-H58))</f>
        <v>0</v>
      </c>
      <c r="K58" s="40" t="n">
        <f aca="false">SUM(J$5:J58)</f>
        <v>6.3</v>
      </c>
      <c r="L58" s="29" t="s">
        <v>350</v>
      </c>
    </row>
    <row r="59" customFormat="false" ht="15" hidden="false" customHeight="true" outlineLevel="0" collapsed="false">
      <c r="A59" s="29" t="s">
        <v>354</v>
      </c>
      <c r="B59" s="16" t="n">
        <v>0.208856123069245</v>
      </c>
      <c r="C59" s="16" t="n">
        <v>0.293399173956689</v>
      </c>
      <c r="D59" s="38" t="n">
        <f aca="false">C59-B59</f>
        <v>0.084543050887444</v>
      </c>
      <c r="E59" s="16" t="n">
        <v>2.35489653547467</v>
      </c>
      <c r="F59" s="16" t="n">
        <v>2.44125013296264</v>
      </c>
      <c r="G59" s="39" t="n">
        <f aca="false">IF(E59="","",ROUND(ROUND(F59,1)-ROUND(E59,1),1))</f>
        <v>0</v>
      </c>
      <c r="H59" s="16" t="n">
        <v>0.1</v>
      </c>
      <c r="I59" s="16" t="n">
        <v>0.184543050887443</v>
      </c>
      <c r="J59" s="40" t="n">
        <f aca="false">IF(H59="","",ABS(ROUND(I59,1)-H59))</f>
        <v>0.1</v>
      </c>
      <c r="K59" s="40" t="n">
        <f aca="false">SUM(J$5:J59)</f>
        <v>6.4</v>
      </c>
      <c r="L59" s="29" t="s">
        <v>350</v>
      </c>
    </row>
    <row r="60" customFormat="false" ht="15" hidden="false" customHeight="true" outlineLevel="0" collapsed="false">
      <c r="A60" s="29" t="s">
        <v>355</v>
      </c>
      <c r="B60" s="16" t="n">
        <v>0.340939138008811</v>
      </c>
      <c r="C60" s="16" t="n">
        <v>0.320298198135914</v>
      </c>
      <c r="D60" s="38" t="n">
        <f aca="false">C60-B60</f>
        <v>-0.020640939872897</v>
      </c>
      <c r="E60" s="16" t="n">
        <v>2.66921301822232</v>
      </c>
      <c r="F60" s="16" t="n">
        <v>2.64809313364767</v>
      </c>
      <c r="G60" s="39" t="n">
        <f aca="false">IF(E60="","",ROUND(ROUND(F60,1)-ROUND(E60,1),1))</f>
        <v>-0.1</v>
      </c>
      <c r="H60" s="16" t="n">
        <v>0.3</v>
      </c>
      <c r="I60" s="16" t="n">
        <v>0.279359060127103</v>
      </c>
      <c r="J60" s="40" t="n">
        <f aca="false">IF(H60="","",ABS(ROUND(I60,1)-H60))</f>
        <v>0</v>
      </c>
      <c r="K60" s="40" t="n">
        <f aca="false">SUM(J$5:J60)</f>
        <v>6.4</v>
      </c>
      <c r="L60" s="29" t="s">
        <v>350</v>
      </c>
    </row>
    <row r="61" customFormat="false" ht="15" hidden="false" customHeight="true" outlineLevel="0" collapsed="false">
      <c r="A61" s="29" t="s">
        <v>356</v>
      </c>
      <c r="B61" s="16" t="n">
        <v>0.150979194632961</v>
      </c>
      <c r="C61" s="16" t="n">
        <v>0.0947056127166163</v>
      </c>
      <c r="D61" s="38" t="n">
        <f aca="false">C61-B61</f>
        <v>-0.0562735819163447</v>
      </c>
      <c r="E61" s="16" t="n">
        <v>2.7049023971514</v>
      </c>
      <c r="F61" s="16" t="n">
        <v>2.64719379774743</v>
      </c>
      <c r="G61" s="39" t="n">
        <f aca="false">IF(E61="","",ROUND(ROUND(F61,1)-ROUND(E61,1),1))</f>
        <v>-0.1</v>
      </c>
      <c r="H61" s="16" t="n">
        <v>0.2</v>
      </c>
      <c r="I61" s="16" t="n">
        <v>0.143726418083655</v>
      </c>
      <c r="J61" s="40" t="n">
        <f aca="false">IF(H61="","",ABS(ROUND(I61,1)-H61))</f>
        <v>0.1</v>
      </c>
      <c r="K61" s="40" t="n">
        <f aca="false">SUM(J$5:J61)</f>
        <v>6.5</v>
      </c>
      <c r="L61" s="29" t="s">
        <v>350</v>
      </c>
    </row>
    <row r="62" customFormat="false" ht="15" hidden="false" customHeight="true" outlineLevel="0" collapsed="false">
      <c r="A62" s="29" t="s">
        <v>357</v>
      </c>
      <c r="B62" s="16" t="n">
        <v>0.287263812188909</v>
      </c>
      <c r="C62" s="16" t="n">
        <v>0.28100091349286</v>
      </c>
      <c r="D62" s="38" t="n">
        <f aca="false">C62-B62</f>
        <v>-0.00626289869604901</v>
      </c>
      <c r="E62" s="16" t="n">
        <v>2.91617428429842</v>
      </c>
      <c r="F62" s="16" t="n">
        <v>2.90974721121629</v>
      </c>
      <c r="G62" s="39" t="n">
        <f aca="false">IF(E62="","",ROUND(ROUND(F62,1)-ROUND(E62,1),1))</f>
        <v>0</v>
      </c>
      <c r="H62" s="16" t="n">
        <v>0.4</v>
      </c>
      <c r="I62" s="16" t="n">
        <v>0.393737101303951</v>
      </c>
      <c r="J62" s="40" t="n">
        <f aca="false">IF(H62="","",ABS(ROUND(I62,1)-H62))</f>
        <v>0</v>
      </c>
      <c r="K62" s="40" t="n">
        <f aca="false">SUM(J$5:J62)</f>
        <v>6.5</v>
      </c>
      <c r="L62" s="29" t="s">
        <v>350</v>
      </c>
    </row>
    <row r="63" customFormat="false" ht="15" hidden="false" customHeight="true" outlineLevel="0" collapsed="false">
      <c r="A63" s="29" t="s">
        <v>358</v>
      </c>
      <c r="B63" s="16" t="n">
        <v>0.254339827641559</v>
      </c>
      <c r="C63" s="16" t="n">
        <v>0.34864271720106</v>
      </c>
      <c r="D63" s="38" t="n">
        <f aca="false">C63-B63</f>
        <v>0.094302889559501</v>
      </c>
      <c r="E63" s="16" t="n">
        <v>3.01267677552561</v>
      </c>
      <c r="F63" s="16" t="n">
        <v>3.109574257449</v>
      </c>
      <c r="G63" s="39" t="n">
        <f aca="false">IF(E63="","",ROUND(ROUND(F63,1)-ROUND(E63,1),1))</f>
        <v>0.1</v>
      </c>
      <c r="H63" s="16" t="n">
        <v>0.3</v>
      </c>
      <c r="I63" s="16" t="n">
        <v>0.394302889559502</v>
      </c>
      <c r="J63" s="40" t="n">
        <f aca="false">IF(H63="","",ABS(ROUND(I63,1)-H63))</f>
        <v>0.1</v>
      </c>
      <c r="K63" s="40" t="n">
        <f aca="false">SUM(J$5:J63)</f>
        <v>6.6</v>
      </c>
      <c r="L63" s="29" t="s">
        <v>350</v>
      </c>
    </row>
    <row r="64" customFormat="false" ht="15" hidden="false" customHeight="true" outlineLevel="0" collapsed="false">
      <c r="A64" s="29" t="s">
        <v>359</v>
      </c>
      <c r="B64" s="16" t="n">
        <v>-0.0209797545368873</v>
      </c>
      <c r="C64" s="16" t="n">
        <v>-0.0416079234158482</v>
      </c>
      <c r="D64" s="38" t="n">
        <f aca="false">C64-B64</f>
        <v>-0.0206281688789609</v>
      </c>
      <c r="E64" s="16" t="n">
        <v>2.67708052787501</v>
      </c>
      <c r="F64" s="16" t="n">
        <v>2.65589568177502</v>
      </c>
      <c r="G64" s="39" t="n">
        <f aca="false">IF(E64="","",ROUND(ROUND(F64,1)-ROUND(E64,1),1))</f>
        <v>0</v>
      </c>
      <c r="H64" s="16" t="n">
        <v>0.3</v>
      </c>
      <c r="I64" s="16" t="n">
        <v>0.279371831121039</v>
      </c>
      <c r="J64" s="40" t="n">
        <f aca="false">IF(H64="","",ABS(ROUND(I64,1)-H64))</f>
        <v>0</v>
      </c>
      <c r="K64" s="40" t="n">
        <f aca="false">SUM(J$5:J64)</f>
        <v>6.6</v>
      </c>
      <c r="L64" s="29" t="s">
        <v>350</v>
      </c>
    </row>
    <row r="65" customFormat="false" ht="15" hidden="false" customHeight="true" outlineLevel="0" collapsed="false">
      <c r="A65" s="29" t="s">
        <v>360</v>
      </c>
      <c r="B65" s="16" t="n">
        <v>0.36969147117456</v>
      </c>
      <c r="C65" s="16" t="n">
        <v>0.376240468494229</v>
      </c>
      <c r="D65" s="38" t="n">
        <f aca="false">C65-B65</f>
        <v>0.00654899731966896</v>
      </c>
      <c r="E65" s="16" t="n">
        <v>2.38643124490432</v>
      </c>
      <c r="F65" s="16" t="n">
        <v>2.39311183198161</v>
      </c>
      <c r="G65" s="39" t="n">
        <f aca="false">IF(E65="","",ROUND(ROUND(F65,1)-ROUND(E65,1),1))</f>
        <v>0</v>
      </c>
      <c r="H65" s="16" t="n">
        <v>0.2</v>
      </c>
      <c r="I65" s="16" t="n">
        <v>0.206548997319669</v>
      </c>
      <c r="J65" s="40" t="n">
        <f aca="false">IF(H65="","",ABS(ROUND(I65,1)-H65))</f>
        <v>0</v>
      </c>
      <c r="K65" s="40" t="n">
        <f aca="false">SUM(J$5:J65)</f>
        <v>6.6</v>
      </c>
      <c r="L65" s="29" t="s">
        <v>350</v>
      </c>
    </row>
    <row r="66" customFormat="false" ht="15" hidden="false" customHeight="true" outlineLevel="0" collapsed="false">
      <c r="A66" s="29" t="s">
        <v>361</v>
      </c>
      <c r="B66" s="16" t="n">
        <v>0.471326848105469</v>
      </c>
      <c r="C66" s="16" t="n">
        <v>0.485143149734169</v>
      </c>
      <c r="D66" s="38" t="n">
        <f aca="false">C66-B66</f>
        <v>0.0138163016287</v>
      </c>
      <c r="E66" s="16" t="n">
        <v>2.41411298663041</v>
      </c>
      <c r="F66" s="16" t="n">
        <v>2.42819645024583</v>
      </c>
      <c r="G66" s="39" t="n">
        <f aca="false">IF(E66="","",ROUND(ROUND(F66,1)-ROUND(E66,1),1))</f>
        <v>0</v>
      </c>
      <c r="H66" s="16" t="n">
        <v>0.3</v>
      </c>
      <c r="I66" s="16" t="n">
        <v>0.3138163016287</v>
      </c>
      <c r="J66" s="40" t="n">
        <f aca="false">IF(H66="","",ABS(ROUND(I66,1)-H66))</f>
        <v>0</v>
      </c>
      <c r="K66" s="40" t="n">
        <f aca="false">SUM(J$5:J66)</f>
        <v>6.6</v>
      </c>
      <c r="L66" s="29" t="s">
        <v>350</v>
      </c>
    </row>
    <row r="67" customFormat="false" ht="15" hidden="false" customHeight="true" outlineLevel="0" collapsed="false">
      <c r="A67" s="29" t="s">
        <v>362</v>
      </c>
      <c r="B67" s="16" t="n">
        <v>1.04900775739401</v>
      </c>
      <c r="C67" s="16" t="n">
        <v>0.970152855710748</v>
      </c>
      <c r="D67" s="38" t="n">
        <f aca="false">C67-B67</f>
        <v>-0.0788549016832619</v>
      </c>
      <c r="E67" s="16" t="n">
        <v>3.25642043908831</v>
      </c>
      <c r="F67" s="16" t="n">
        <v>3.17584295433517</v>
      </c>
      <c r="G67" s="39" t="n">
        <f aca="false">IF(E67="","",ROUND(ROUND(F67,1)-ROUND(E67,1),1))</f>
        <v>-0.1</v>
      </c>
      <c r="H67" s="16" t="n">
        <v>0.9</v>
      </c>
      <c r="I67" s="16" t="n">
        <v>0.821145098316743</v>
      </c>
      <c r="J67" s="40" t="n">
        <f aca="false">IF(H67="","",ABS(ROUND(I67,1)-H67))</f>
        <v>0.1</v>
      </c>
      <c r="K67" s="40" t="n">
        <f aca="false">SUM(J$5:J67)</f>
        <v>6.7</v>
      </c>
      <c r="L67" s="29" t="s">
        <v>350</v>
      </c>
    </row>
    <row r="68" customFormat="false" ht="15" hidden="false" customHeight="true" outlineLevel="0" collapsed="false">
      <c r="A68" s="29" t="s">
        <v>363</v>
      </c>
      <c r="B68" s="16" t="n">
        <v>0.850057387201586</v>
      </c>
      <c r="C68" s="16" t="n">
        <v>0.578644595697356</v>
      </c>
      <c r="D68" s="38" t="n">
        <f aca="false">C68-B68</f>
        <v>-0.27141279150423</v>
      </c>
      <c r="E68" s="16" t="n">
        <v>3.81084493212176</v>
      </c>
      <c r="F68" s="16" t="n">
        <v>3.5314639189483</v>
      </c>
      <c r="G68" s="39" t="n">
        <f aca="false">IF(E68="","",ROUND(ROUND(F68,1)-ROUND(E68,1),1))</f>
        <v>-0.3</v>
      </c>
      <c r="H68" s="16" t="n">
        <v>0.6</v>
      </c>
      <c r="I68" s="16" t="n">
        <v>0.32858720849577</v>
      </c>
      <c r="J68" s="40" t="n">
        <f aca="false">IF(H68="","",ABS(ROUND(I68,1)-H68))</f>
        <v>0.3</v>
      </c>
      <c r="K68" s="40" t="n">
        <f aca="false">SUM(J$5:J68)</f>
        <v>7</v>
      </c>
      <c r="L68" s="29" t="s">
        <v>350</v>
      </c>
    </row>
    <row r="69" customFormat="false" ht="15" hidden="false" customHeight="true" outlineLevel="0" collapsed="false">
      <c r="A69" s="29" t="s">
        <v>364</v>
      </c>
      <c r="B69" s="16" t="n">
        <v>0.631493603987754</v>
      </c>
      <c r="C69" s="16" t="n">
        <v>0.66937353410212</v>
      </c>
      <c r="D69" s="38" t="n">
        <f aca="false">C69-B69</f>
        <v>0.037879930114366</v>
      </c>
      <c r="E69" s="16" t="n">
        <v>4.24867403916445</v>
      </c>
      <c r="F69" s="16" t="n">
        <v>4.28791555636443</v>
      </c>
      <c r="G69" s="39" t="n">
        <f aca="false">IF(E69="","",ROUND(ROUND(F69,1)-ROUND(E69,1),1))</f>
        <v>0.1</v>
      </c>
      <c r="H69" s="16" t="n">
        <v>0.5</v>
      </c>
      <c r="I69" s="16" t="n">
        <v>0.537879930114366</v>
      </c>
      <c r="J69" s="40" t="n">
        <f aca="false">IF(H69="","",ABS(ROUND(I69,1)-H69))</f>
        <v>0</v>
      </c>
      <c r="K69" s="40" t="n">
        <f aca="false">SUM(J$5:J69)</f>
        <v>7</v>
      </c>
      <c r="L69" s="29" t="s">
        <v>350</v>
      </c>
    </row>
    <row r="70" customFormat="false" ht="15" hidden="false" customHeight="true" outlineLevel="0" collapsed="false">
      <c r="A70" s="29" t="s">
        <v>365</v>
      </c>
      <c r="B70" s="16" t="n">
        <v>-0.349423942850835</v>
      </c>
      <c r="C70" s="16" t="n">
        <v>-0.023700041089475</v>
      </c>
      <c r="D70" s="38" t="n">
        <f aca="false">C70-B70</f>
        <v>0.32572390176136</v>
      </c>
      <c r="E70" s="16" t="n">
        <v>3.53142506378639</v>
      </c>
      <c r="F70" s="16" t="n">
        <v>3.86983414340227</v>
      </c>
      <c r="G70" s="39" t="n">
        <f aca="false">IF(E70="","",ROUND(ROUND(F70,1)-ROUND(E70,1),1))</f>
        <v>0.4</v>
      </c>
      <c r="H70" s="16" t="n">
        <v>-0.4</v>
      </c>
      <c r="I70" s="16" t="n">
        <v>-0.07427609823864</v>
      </c>
      <c r="J70" s="40" t="n">
        <f aca="false">IF(H70="","",ABS(ROUND(I70,1)-H70))</f>
        <v>0.3</v>
      </c>
      <c r="K70" s="40" t="n">
        <f aca="false">SUM(J$5:J70)</f>
        <v>7.3</v>
      </c>
      <c r="L70" s="29" t="s">
        <v>350</v>
      </c>
    </row>
    <row r="71" customFormat="false" ht="15" hidden="false" customHeight="true" outlineLevel="0" collapsed="false">
      <c r="A71" s="29" t="s">
        <v>366</v>
      </c>
      <c r="B71" s="16" t="n">
        <v>-0.0101811038712096</v>
      </c>
      <c r="C71" s="16" t="n">
        <v>-0.0319651550594234</v>
      </c>
      <c r="D71" s="38" t="n">
        <f aca="false">C71-B71</f>
        <v>-0.0217840511882138</v>
      </c>
      <c r="E71" s="16" t="n">
        <v>3.3648250414799</v>
      </c>
      <c r="F71" s="16" t="n">
        <v>3.34230570236496</v>
      </c>
      <c r="G71" s="39" t="n">
        <f aca="false">IF(E71="","",ROUND(ROUND(F71,1)-ROUND(E71,1),1))</f>
        <v>-0.1</v>
      </c>
      <c r="H71" s="16" t="n">
        <v>0.1</v>
      </c>
      <c r="I71" s="16" t="n">
        <v>0.0782159488117863</v>
      </c>
      <c r="J71" s="40" t="n">
        <f aca="false">IF(H71="","",ABS(ROUND(I71,1)-H71))</f>
        <v>0</v>
      </c>
      <c r="K71" s="40" t="n">
        <f aca="false">SUM(J$5:J71)</f>
        <v>7.3</v>
      </c>
      <c r="L71" s="29" t="s">
        <v>350</v>
      </c>
    </row>
    <row r="72" customFormat="false" ht="15" hidden="false" customHeight="true" outlineLevel="0" collapsed="false">
      <c r="A72" s="29" t="s">
        <v>367</v>
      </c>
      <c r="B72" s="16" t="n">
        <v>0.318042154061771</v>
      </c>
      <c r="C72" s="16" t="n">
        <v>0.355168544158302</v>
      </c>
      <c r="D72" s="38" t="n">
        <f aca="false">C72-B72</f>
        <v>0.037126390096531</v>
      </c>
      <c r="E72" s="16" t="n">
        <v>3.39654789243646</v>
      </c>
      <c r="F72" s="16" t="n">
        <v>3.43481359708207</v>
      </c>
      <c r="G72" s="39" t="n">
        <f aca="false">IF(E72="","",ROUND(ROUND(F72,1)-ROUND(E72,1),1))</f>
        <v>0</v>
      </c>
      <c r="H72" s="16" t="n">
        <v>0.4</v>
      </c>
      <c r="I72" s="16" t="n">
        <v>0.437126390096532</v>
      </c>
      <c r="J72" s="40" t="n">
        <f aca="false">IF(H72="","",ABS(ROUND(I72,1)-H72))</f>
        <v>0</v>
      </c>
      <c r="K72" s="40" t="n">
        <f aca="false">SUM(J$5:J72)</f>
        <v>7.3</v>
      </c>
      <c r="L72" s="29" t="s">
        <v>350</v>
      </c>
    </row>
    <row r="73" customFormat="false" ht="15" hidden="false" customHeight="true" outlineLevel="0" collapsed="false">
      <c r="A73" s="29" t="s">
        <v>368</v>
      </c>
      <c r="B73" s="16" t="n">
        <v>0.585109558779617</v>
      </c>
      <c r="C73" s="16" t="n">
        <v>0.498370749638554</v>
      </c>
      <c r="D73" s="38" t="n">
        <f aca="false">C73-B73</f>
        <v>-0.086738809141063</v>
      </c>
      <c r="E73" s="16" t="n">
        <v>3.73768472906404</v>
      </c>
      <c r="F73" s="16" t="n">
        <v>3.64822732054777</v>
      </c>
      <c r="G73" s="39" t="n">
        <f aca="false">IF(E73="","",ROUND(ROUND(F73,1)-ROUND(E73,1),1))</f>
        <v>-0.1</v>
      </c>
      <c r="H73" s="16" t="n">
        <v>0.6</v>
      </c>
      <c r="I73" s="16" t="n">
        <v>0.513261190858936</v>
      </c>
      <c r="J73" s="40" t="n">
        <f aca="false">IF(H73="","",ABS(ROUND(I73,1)-H73))</f>
        <v>0.1</v>
      </c>
      <c r="K73" s="40" t="n">
        <f aca="false">SUM(J$5:J73)</f>
        <v>7.4</v>
      </c>
      <c r="L73" s="29" t="s">
        <v>350</v>
      </c>
    </row>
    <row r="75" customFormat="false" ht="15" hidden="false" customHeight="true" outlineLevel="0" collapsed="false">
      <c r="A75" s="4" t="s">
        <v>369</v>
      </c>
    </row>
    <row r="76" customFormat="false" ht="15" hidden="false" customHeight="true" outlineLevel="0" collapsed="false">
      <c r="A76" s="37" t="s">
        <v>370</v>
      </c>
      <c r="B76" s="20" t="n">
        <f aca="false">SUMPRODUCT(ABS(D5:D73))/COUNT(D5:D73)</f>
        <v>0.110937810552589</v>
      </c>
    </row>
    <row r="77" customFormat="false" ht="15" hidden="false" customHeight="true" outlineLevel="0" collapsed="false">
      <c r="A77" s="37" t="s">
        <v>371</v>
      </c>
      <c r="B77" s="20" t="n">
        <f aca="false">SQRT(SUMPRODUCT(D5:D73,D5:D73)/COUNT(D5:D73))</f>
        <v>0.160154116390781</v>
      </c>
    </row>
    <row r="78" customFormat="false" ht="15" hidden="false" customHeight="true" outlineLevel="0" collapsed="false">
      <c r="A78" s="37" t="s">
        <v>372</v>
      </c>
      <c r="B78" s="41" t="n">
        <f aca="false">AVERAGE(D5:D73)</f>
        <v>-0.0041605945625911</v>
      </c>
    </row>
    <row r="79" customFormat="false" ht="15" hidden="false" customHeight="true" outlineLevel="0" collapsed="false">
      <c r="A79" s="37" t="s">
        <v>373</v>
      </c>
      <c r="B79" s="42" t="n">
        <f aca="false">COUNTIF(G5:G73,0)/COUNT(G5:G73)</f>
        <v>0.333333333333333</v>
      </c>
    </row>
    <row r="80" customFormat="false" ht="15" hidden="false" customHeight="true" outlineLevel="0" collapsed="false">
      <c r="A80" s="37" t="s">
        <v>374</v>
      </c>
      <c r="B80" s="42" t="n">
        <f aca="false">SUMPRODUCT((G5:G73&lt;&gt;"")*(ABS(N(+G5:G73))&lt;=0.1001))/SUMPRODUCT((G5:G73&lt;&gt;"")*1)</f>
        <v>0.777777777777778</v>
      </c>
    </row>
    <row r="81" customFormat="false" ht="15" hidden="false" customHeight="true" outlineLevel="0" collapsed="false">
      <c r="A81" s="37" t="s">
        <v>375</v>
      </c>
      <c r="B81" s="42" t="n">
        <f aca="false">COUNTIF(J5:J73,0)/COUNT(J5:J73)</f>
        <v>0.347826086956522</v>
      </c>
    </row>
    <row r="82" customFormat="false" ht="15" hidden="false" customHeight="true" outlineLevel="0" collapsed="false">
      <c r="A82" s="37" t="s">
        <v>376</v>
      </c>
      <c r="B82" s="20" t="n">
        <f aca="false">AVERAGE(J5:J73)</f>
        <v>0.107246376811594</v>
      </c>
    </row>
    <row r="83" customFormat="false" ht="15" hidden="false" customHeight="true" outlineLevel="0" collapsed="false">
      <c r="A83" s="37" t="s">
        <v>377</v>
      </c>
      <c r="B83" s="25" t="n">
        <f aca="false">SUM(J56:J73)</f>
        <v>1.3</v>
      </c>
    </row>
    <row r="84" customFormat="false" ht="15" hidden="false" customHeight="true" outlineLevel="0" collapsed="false">
      <c r="A84" s="37" t="s">
        <v>378</v>
      </c>
      <c r="B84" s="25" t="n">
        <f aca="false">SUM(J62:J73)</f>
        <v>0.9</v>
      </c>
    </row>
    <row r="86" customFormat="false" ht="15" hidden="false" customHeight="true" outlineLevel="0" collapsed="false">
      <c r="A86" s="4" t="s">
        <v>379</v>
      </c>
    </row>
    <row r="87" customFormat="false" ht="15" hidden="false" customHeight="true" outlineLevel="0" collapsed="false">
      <c r="A87" s="43" t="s">
        <v>294</v>
      </c>
      <c r="B87" s="43" t="s">
        <v>380</v>
      </c>
      <c r="C87" s="43" t="s">
        <v>381</v>
      </c>
      <c r="D87" s="43" t="s">
        <v>382</v>
      </c>
      <c r="E87" s="43" t="s">
        <v>383</v>
      </c>
      <c r="F87" s="43" t="s">
        <v>384</v>
      </c>
      <c r="G87" s="43" t="s">
        <v>385</v>
      </c>
    </row>
    <row r="88" customFormat="false" ht="15" hidden="false" customHeight="true" outlineLevel="0" collapsed="false">
      <c r="A88" s="44" t="s">
        <v>296</v>
      </c>
      <c r="B88" s="44" t="n">
        <f aca="false">COUNTIF(L5:L73,A88)</f>
        <v>14</v>
      </c>
      <c r="C88" s="15" t="n">
        <f aca="false">SUMPRODUCT((L5:L73=A88)*ABS(D5:D73))/B88</f>
        <v>0.230415691611503</v>
      </c>
      <c r="D88" s="45" t="n">
        <f aca="false">SUMPRODUCT((L5:L73=A88)*(G5:G73&lt;&gt;"")*(ABS(N(+G5:G73))&lt;0.0001))/SUMPRODUCT((L5:L73=A88)*(G5:G73&lt;&gt;""))</f>
        <v>0</v>
      </c>
      <c r="E88" s="45" t="n">
        <f aca="false">SUMPRODUCT((L5:L73=A88)*(G5:G73&lt;&gt;"")*(ABS(N(+G5:G73))&lt;=0.1001))/SUMPRODUCT((L5:L73=A88)*(G5:G73&lt;&gt;""))</f>
        <v>0.375</v>
      </c>
      <c r="F88" s="45" t="n">
        <f aca="false">SUMPRODUCT((L5:L73=A88)*(J5:J73=0))/B88</f>
        <v>0.0714285714285714</v>
      </c>
      <c r="G88" s="15" t="n">
        <f aca="false">SUMPRODUCT((L5:L73=A88)*J5:J73)/B88</f>
        <v>0.235714285714286</v>
      </c>
    </row>
    <row r="89" customFormat="false" ht="15" hidden="false" customHeight="true" outlineLevel="0" collapsed="false">
      <c r="A89" s="44" t="s">
        <v>311</v>
      </c>
      <c r="B89" s="44" t="n">
        <f aca="false">COUNTIF(L5:L73,A89)</f>
        <v>12</v>
      </c>
      <c r="C89" s="15" t="n">
        <f aca="false">SUMPRODUCT((L5:L73=A89)*ABS(D5:D73))/B89</f>
        <v>0.127193636246003</v>
      </c>
      <c r="D89" s="45" t="n">
        <f aca="false">SUMPRODUCT((L5:L73=A89)*(G5:G73&lt;&gt;"")*(ABS(N(+G5:G73))&lt;0.0001))/SUMPRODUCT((L5:L73=A89)*(G5:G73&lt;&gt;""))</f>
        <v>0.25</v>
      </c>
      <c r="E89" s="45" t="n">
        <f aca="false">SUMPRODUCT((L5:L73=A89)*(G5:G73&lt;&gt;"")*(ABS(N(+G5:G73))&lt;=0.1001))/SUMPRODUCT((L5:L73=A89)*(G5:G73&lt;&gt;""))</f>
        <v>0.416666666666667</v>
      </c>
      <c r="F89" s="45" t="n">
        <f aca="false">SUMPRODUCT((L5:L73=A89)*(J5:J73=0))/B89</f>
        <v>0.25</v>
      </c>
      <c r="G89" s="15" t="n">
        <f aca="false">SUMPRODUCT((L5:L73=A89)*J5:J73)/B89</f>
        <v>0.108333333333333</v>
      </c>
    </row>
    <row r="90" customFormat="false" ht="15" hidden="false" customHeight="true" outlineLevel="0" collapsed="false">
      <c r="A90" s="44" t="s">
        <v>324</v>
      </c>
      <c r="B90" s="44" t="n">
        <f aca="false">COUNTIF(L5:L73,A90)</f>
        <v>12</v>
      </c>
      <c r="C90" s="15" t="n">
        <f aca="false">SUMPRODUCT((L5:L73=A90)*ABS(D5:D73))/B90</f>
        <v>0.0518876038070206</v>
      </c>
      <c r="D90" s="45" t="n">
        <f aca="false">SUMPRODUCT((L5:L73=A90)*(G5:G73&lt;&gt;"")*(ABS(N(+G5:G73))&lt;0.0001))/SUMPRODUCT((L5:L73=A90)*(G5:G73&lt;&gt;""))</f>
        <v>0.666666666666667</v>
      </c>
      <c r="E90" s="45" t="n">
        <f aca="false">SUMPRODUCT((L5:L73=A90)*(G5:G73&lt;&gt;"")*(ABS(N(+G5:G73))&lt;=0.1001))/SUMPRODUCT((L5:L73=A90)*(G5:G73&lt;&gt;""))</f>
        <v>1</v>
      </c>
      <c r="F90" s="45" t="n">
        <f aca="false">SUMPRODUCT((L5:L73=A90)*(J5:J73=0))/B90</f>
        <v>0.5</v>
      </c>
      <c r="G90" s="15" t="n">
        <f aca="false">SUMPRODUCT((L5:L73=A90)*J5:J73)/B90</f>
        <v>0.05</v>
      </c>
    </row>
    <row r="91" customFormat="false" ht="15" hidden="false" customHeight="true" outlineLevel="0" collapsed="false">
      <c r="A91" s="44" t="s">
        <v>337</v>
      </c>
      <c r="B91" s="44" t="n">
        <f aca="false">COUNTIF(L5:L73,A91)</f>
        <v>12</v>
      </c>
      <c r="C91" s="15" t="n">
        <f aca="false">SUMPRODUCT((L5:L73=A91)*ABS(D5:D73))/B91</f>
        <v>0.0723447616679716</v>
      </c>
      <c r="D91" s="45" t="n">
        <f aca="false">SUMPRODUCT((L5:L73=A91)*(G5:G73&lt;&gt;"")*(ABS(N(+G5:G73))&lt;0.0001))/SUMPRODUCT((L5:L73=A91)*(G5:G73&lt;&gt;""))</f>
        <v>0.25</v>
      </c>
      <c r="E91" s="45" t="n">
        <f aca="false">SUMPRODUCT((L5:L73=A91)*(G5:G73&lt;&gt;"")*(ABS(N(+G5:G73))&lt;=0.1001))/SUMPRODUCT((L5:L73=A91)*(G5:G73&lt;&gt;""))</f>
        <v>1</v>
      </c>
      <c r="F91" s="45" t="n">
        <f aca="false">SUMPRODUCT((L5:L73=A91)*(J5:J73=0))/B91</f>
        <v>0.416666666666667</v>
      </c>
      <c r="G91" s="15" t="n">
        <f aca="false">SUMPRODUCT((L5:L73=A91)*J5:J73)/B91</f>
        <v>0.0666666666666667</v>
      </c>
    </row>
    <row r="92" customFormat="false" ht="15" hidden="false" customHeight="true" outlineLevel="0" collapsed="false">
      <c r="A92" s="44" t="s">
        <v>350</v>
      </c>
      <c r="B92" s="44" t="n">
        <f aca="false">COUNTIF(L5:L73,A92)</f>
        <v>19</v>
      </c>
      <c r="C92" s="15" t="n">
        <f aca="false">SUMPRODUCT((L5:L73=A92)*ABS(D5:D73))/B92</f>
        <v>0.0743040644692471</v>
      </c>
      <c r="D92" s="45" t="n">
        <f aca="false">SUMPRODUCT((L5:L73=A92)*(G5:G73&lt;&gt;"")*(ABS(N(+G5:G73))&lt;0.0001))/SUMPRODUCT((L5:L73=A92)*(G5:G73&lt;&gt;""))</f>
        <v>0.368421052631579</v>
      </c>
      <c r="E92" s="45" t="n">
        <f aca="false">SUMPRODUCT((L5:L73=A92)*(G5:G73&lt;&gt;"")*(ABS(N(+G5:G73))&lt;=0.1001))/SUMPRODUCT((L5:L73=A92)*(G5:G73&lt;&gt;""))</f>
        <v>0.894736842105263</v>
      </c>
      <c r="F92" s="45" t="n">
        <f aca="false">SUMPRODUCT((L5:L73=A92)*(J5:J73=0))/B92</f>
        <v>0.473684210526316</v>
      </c>
      <c r="G92" s="15" t="n">
        <f aca="false">SUMPRODUCT((L5:L73=A92)*J5:J73)/B92</f>
        <v>0.0736842105263158</v>
      </c>
    </row>
    <row r="95" customFormat="false" ht="15" hidden="false" customHeight="true" outlineLevel="0" collapsed="false">
      <c r="A95" s="4" t="s">
        <v>386</v>
      </c>
    </row>
    <row r="96" customFormat="false" ht="15" hidden="false" customHeight="true" outlineLevel="0" collapsed="false">
      <c r="A96" s="37" t="s">
        <v>387</v>
      </c>
    </row>
    <row r="97" customFormat="false" ht="15" hidden="false" customHeight="true" outlineLevel="0" collapsed="false">
      <c r="A97" s="37" t="s">
        <v>388</v>
      </c>
    </row>
    <row r="98" customFormat="false" ht="15" hidden="false" customHeight="true" outlineLevel="0" collapsed="false">
      <c r="A98" s="37" t="s">
        <v>389</v>
      </c>
    </row>
    <row r="99" customFormat="false" ht="15" hidden="false" customHeight="true" outlineLevel="0" collapsed="false">
      <c r="A99" s="37" t="s">
        <v>390</v>
      </c>
    </row>
    <row r="100" customFormat="false" ht="15" hidden="false" customHeight="true" outlineLevel="0" collapsed="false">
      <c r="A100" s="37" t="s">
        <v>391</v>
      </c>
    </row>
    <row r="101" customFormat="false" ht="15" hidden="false" customHeight="true" outlineLevel="0" collapsed="false">
      <c r="A101" s="37" t="s">
        <v>392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9" min="2" style="1" width="14"/>
    <col collapsed="false" customWidth="true" hidden="false" outlineLevel="0" max="10" min="10" style="1" width="40"/>
  </cols>
  <sheetData>
    <row r="1" customFormat="false" ht="17.25" hidden="false" customHeight="true" outlineLevel="0" collapsed="false">
      <c r="A1" s="2" t="s">
        <v>393</v>
      </c>
    </row>
    <row r="2" customFormat="false" ht="15" hidden="false" customHeight="true" outlineLevel="0" collapsed="false">
      <c r="A2" s="3" t="s">
        <v>394</v>
      </c>
    </row>
    <row r="4" customFormat="false" ht="15" hidden="false" customHeight="true" outlineLevel="0" collapsed="false">
      <c r="A4" s="1" t="s">
        <v>395</v>
      </c>
      <c r="B4" s="9" t="n">
        <f aca="false">Nowcast!B46</f>
        <v>3.6560451414678</v>
      </c>
    </row>
    <row r="5" customFormat="false" ht="15" hidden="false" customHeight="true" outlineLevel="0" collapsed="false">
      <c r="A5" s="1" t="s">
        <v>396</v>
      </c>
      <c r="B5" s="9" t="n">
        <f aca="false">Nowcast!B51</f>
        <v>0.0997461717011222</v>
      </c>
    </row>
    <row r="6" customFormat="false" ht="15" hidden="false" customHeight="true" outlineLevel="0" collapsed="false">
      <c r="A6" s="1" t="s">
        <v>397</v>
      </c>
      <c r="B6" s="46"/>
    </row>
    <row r="7" customFormat="false" ht="15" hidden="false" customHeight="true" outlineLevel="0" collapsed="false">
      <c r="A7" s="1" t="s">
        <v>398</v>
      </c>
      <c r="B7" s="20" t="n">
        <f aca="false">IF(B6="",B5,B6)</f>
        <v>0.0997461717011222</v>
      </c>
    </row>
    <row r="8" customFormat="false" ht="15" hidden="false" customHeight="true" outlineLevel="0" collapsed="false">
      <c r="A8" s="1" t="s">
        <v>399</v>
      </c>
      <c r="B8" s="11" t="n">
        <v>0.0175</v>
      </c>
    </row>
    <row r="10" customFormat="false" ht="45.75" hidden="false" customHeight="true" outlineLevel="0" collapsed="false">
      <c r="A10" s="5" t="s">
        <v>400</v>
      </c>
      <c r="B10" s="5" t="s">
        <v>401</v>
      </c>
      <c r="C10" s="5" t="s">
        <v>402</v>
      </c>
      <c r="D10" s="5" t="s">
        <v>403</v>
      </c>
      <c r="E10" s="5" t="s">
        <v>404</v>
      </c>
      <c r="F10" s="5" t="s">
        <v>405</v>
      </c>
      <c r="G10" s="5" t="s">
        <v>406</v>
      </c>
      <c r="H10" s="5" t="s">
        <v>407</v>
      </c>
      <c r="I10" s="5" t="s">
        <v>408</v>
      </c>
      <c r="J10" s="5" t="s">
        <v>190</v>
      </c>
    </row>
    <row r="11" customFormat="false" ht="15" hidden="false" customHeight="true" outlineLevel="0" collapsed="false">
      <c r="A11" s="6" t="s">
        <v>409</v>
      </c>
      <c r="B11" s="47" t="n">
        <v>3.3</v>
      </c>
      <c r="C11" s="40" t="n">
        <f aca="false">B11+0.1</f>
        <v>3.4</v>
      </c>
      <c r="D11" s="15" t="n">
        <f aca="false">((1+(B11+0.05)/100)*Nowcast!$B$5/Nowcast!$B$4-1)*100</f>
        <v>0.209206519792238</v>
      </c>
      <c r="E11" s="48" t="n">
        <f aca="false">1-NORMDIST(B11+0.05,$B$4,$B$7,TRUE())</f>
        <v>0.998923380057177</v>
      </c>
      <c r="F11" s="16" t="n">
        <v>0.97</v>
      </c>
      <c r="G11" s="16" t="n">
        <v>0.98</v>
      </c>
      <c r="H11" s="49" t="n">
        <f aca="false">E11-G11-$B$8</f>
        <v>0.0014233800571772</v>
      </c>
      <c r="I11" s="49" t="n">
        <f aca="false">(1-E11)-(1-F11)-$B$8</f>
        <v>-0.0464233800571772</v>
      </c>
    </row>
    <row r="12" customFormat="false" ht="15" hidden="false" customHeight="true" outlineLevel="0" collapsed="false">
      <c r="A12" s="6" t="s">
        <v>410</v>
      </c>
      <c r="B12" s="47" t="n">
        <v>3.4</v>
      </c>
      <c r="C12" s="40" t="n">
        <f aca="false">B12+0.1</f>
        <v>3.5</v>
      </c>
      <c r="D12" s="15" t="n">
        <f aca="false">((1+(B12+0.05)/100)*Nowcast!$B$5/Nowcast!$B$4-1)*100</f>
        <v>0.306167532389989</v>
      </c>
      <c r="E12" s="48" t="n">
        <f aca="false">1-NORMDIST(B12+0.05,$B$4,$B$7,TRUE())</f>
        <v>0.980571343505616</v>
      </c>
      <c r="F12" s="16" t="n">
        <v>0.95</v>
      </c>
      <c r="G12" s="16" t="n">
        <v>0.96</v>
      </c>
      <c r="H12" s="49" t="n">
        <f aca="false">E12-G12-$B$8</f>
        <v>0.00307134350561607</v>
      </c>
      <c r="I12" s="49" t="n">
        <f aca="false">(1-E12)-(1-F12)-$B$8</f>
        <v>-0.0480713435056161</v>
      </c>
    </row>
    <row r="13" customFormat="false" ht="15" hidden="false" customHeight="true" outlineLevel="0" collapsed="false">
      <c r="A13" s="6" t="s">
        <v>411</v>
      </c>
      <c r="B13" s="47" t="n">
        <v>3.5</v>
      </c>
      <c r="C13" s="40" t="n">
        <f aca="false">B13+0.1</f>
        <v>3.6</v>
      </c>
      <c r="D13" s="15" t="n">
        <f aca="false">((1+(B13+0.05)/100)*Nowcast!$B$5/Nowcast!$B$4-1)*100</f>
        <v>0.403128544987763</v>
      </c>
      <c r="E13" s="48" t="n">
        <f aca="false">1-NORMDIST(B13+0.05,$B$4,$B$7,TRUE())</f>
        <v>0.856143031362026</v>
      </c>
      <c r="F13" s="16" t="n">
        <v>0.87</v>
      </c>
      <c r="G13" s="16" t="n">
        <v>0.88</v>
      </c>
      <c r="H13" s="49" t="n">
        <f aca="false">E13-G13-$B$8</f>
        <v>-0.0413569686379743</v>
      </c>
      <c r="I13" s="49" t="n">
        <f aca="false">(1-E13)-(1-F13)-$B$8</f>
        <v>-0.00364303136202575</v>
      </c>
    </row>
    <row r="14" customFormat="false" ht="15" hidden="false" customHeight="true" outlineLevel="0" collapsed="false">
      <c r="A14" s="6" t="s">
        <v>412</v>
      </c>
      <c r="B14" s="47" t="n">
        <v>3.6</v>
      </c>
      <c r="C14" s="40" t="n">
        <f aca="false">B14+0.1</f>
        <v>3.7</v>
      </c>
      <c r="D14" s="15" t="n">
        <f aca="false">((1+(B14+0.05)/100)*Nowcast!$B$5/Nowcast!$B$4-1)*100</f>
        <v>0.500089557585515</v>
      </c>
      <c r="E14" s="48" t="n">
        <f aca="false">1-NORMDIST(B14+0.05,$B$4,$B$7,TRUE())</f>
        <v>0.524163203024333</v>
      </c>
      <c r="F14" s="16" t="n">
        <v>0.51</v>
      </c>
      <c r="G14" s="16" t="n">
        <v>0.52</v>
      </c>
      <c r="H14" s="49" t="n">
        <f aca="false">E14-G14-$B$8</f>
        <v>-0.0133367969756666</v>
      </c>
      <c r="I14" s="49" t="n">
        <f aca="false">(1-E14)-(1-F14)-$B$8</f>
        <v>-0.0316632030243334</v>
      </c>
      <c r="J14" s="1" t="s">
        <v>413</v>
      </c>
    </row>
    <row r="15" customFormat="false" ht="15" hidden="false" customHeight="true" outlineLevel="0" collapsed="false">
      <c r="A15" s="6" t="s">
        <v>414</v>
      </c>
      <c r="B15" s="47" t="n">
        <v>3.7</v>
      </c>
      <c r="C15" s="40" t="n">
        <f aca="false">B15+0.1</f>
        <v>3.8</v>
      </c>
      <c r="D15" s="15" t="n">
        <f aca="false">((1+(B15+0.05)/100)*Nowcast!$B$5/Nowcast!$B$4-1)*100</f>
        <v>0.597050570183288</v>
      </c>
      <c r="E15" s="48" t="n">
        <f aca="false">1-NORMDIST(B15+0.05,$B$4,$B$7,TRUE())</f>
        <v>0.173111809190187</v>
      </c>
      <c r="F15" s="16" t="n">
        <v>0.1</v>
      </c>
      <c r="G15" s="16" t="n">
        <v>0.11</v>
      </c>
      <c r="H15" s="49" t="n">
        <f aca="false">E15-G15-$B$8</f>
        <v>0.0456118091901869</v>
      </c>
      <c r="I15" s="49" t="n">
        <f aca="false">(1-E15)-(1-F15)-$B$8</f>
        <v>-0.0906118091901869</v>
      </c>
      <c r="J15" s="1" t="s">
        <v>415</v>
      </c>
    </row>
    <row r="16" customFormat="false" ht="15" hidden="false" customHeight="true" outlineLevel="0" collapsed="false">
      <c r="A16" s="6" t="s">
        <v>416</v>
      </c>
      <c r="B16" s="47" t="n">
        <v>3.8</v>
      </c>
      <c r="C16" s="40" t="n">
        <f aca="false">B16+0.1</f>
        <v>3.9</v>
      </c>
      <c r="D16" s="15" t="n">
        <f aca="false">((1+(B16+0.05)/100)*Nowcast!$B$5/Nowcast!$B$4-1)*100</f>
        <v>0.694011582781062</v>
      </c>
      <c r="E16" s="48" t="n">
        <f aca="false">1-NORMDIST(B16+0.05,$B$4,$B$7,TRUE())</f>
        <v>0.0259185422570208</v>
      </c>
      <c r="F16" s="16" t="n">
        <v>0</v>
      </c>
      <c r="G16" s="16" t="n">
        <v>0.01</v>
      </c>
      <c r="H16" s="49" t="n">
        <f aca="false">E16-G16-$B$8</f>
        <v>-0.00158145774297917</v>
      </c>
      <c r="I16" s="49" t="n">
        <f aca="false">(1-E16)-(1-F16)-$B$8</f>
        <v>-0.0434185422570208</v>
      </c>
    </row>
    <row r="17" customFormat="false" ht="15" hidden="false" customHeight="true" outlineLevel="0" collapsed="false">
      <c r="A17" s="6" t="s">
        <v>417</v>
      </c>
      <c r="B17" s="47" t="n">
        <v>3.9</v>
      </c>
      <c r="C17" s="40" t="n">
        <f aca="false">B17+0.1</f>
        <v>4</v>
      </c>
      <c r="D17" s="15" t="n">
        <f aca="false">((1+(B17+0.05)/100)*Nowcast!$B$5/Nowcast!$B$4-1)*100</f>
        <v>0.790972595378836</v>
      </c>
      <c r="E17" s="48" t="n">
        <f aca="false">1-NORMDIST(B17+0.05,$B$4,$B$7,TRUE())</f>
        <v>0.00160421567178037</v>
      </c>
      <c r="F17" s="16" t="n">
        <v>0</v>
      </c>
      <c r="G17" s="16" t="n">
        <v>0.01</v>
      </c>
      <c r="H17" s="49" t="n">
        <f aca="false">E17-G17-$B$8</f>
        <v>-0.0258957843282196</v>
      </c>
      <c r="I17" s="49" t="n">
        <f aca="false">(1-E17)-(1-F17)-$B$8</f>
        <v>-0.0191042156717804</v>
      </c>
    </row>
    <row r="20" customFormat="false" ht="23.25" hidden="false" customHeight="true" outlineLevel="0" collapsed="false">
      <c r="A20" s="5" t="s">
        <v>418</v>
      </c>
      <c r="B20" s="5" t="s">
        <v>419</v>
      </c>
      <c r="C20" s="5"/>
      <c r="D20" s="5" t="s">
        <v>420</v>
      </c>
      <c r="E20" s="5" t="s">
        <v>421</v>
      </c>
      <c r="F20" s="5" t="s">
        <v>422</v>
      </c>
      <c r="G20" s="5"/>
      <c r="H20" s="5" t="s">
        <v>423</v>
      </c>
      <c r="I20" s="5"/>
      <c r="J20" s="5" t="s">
        <v>190</v>
      </c>
    </row>
    <row r="21" customFormat="false" ht="15" hidden="false" customHeight="true" outlineLevel="0" collapsed="false">
      <c r="A21" s="6" t="s">
        <v>424</v>
      </c>
      <c r="B21" s="44" t="s">
        <v>425</v>
      </c>
      <c r="D21" s="44" t="str">
        <f aca="false">TEXT(((1+3.45/100)*Nowcast!$B$5/Nowcast!$B$4-1)*100,"0.000")&amp;" or less"</f>
        <v>0.306 or less</v>
      </c>
      <c r="E21" s="48" t="n">
        <f aca="false">NORMDIST(3.45,$B$4,$B$7,TRUE())</f>
        <v>0.0194286564943842</v>
      </c>
      <c r="F21" s="48" t="n">
        <f aca="false">1-AVERAGE(F12:G12)</f>
        <v>0.045</v>
      </c>
      <c r="H21" s="50" t="n">
        <f aca="false">E21-F21</f>
        <v>-0.0255713435056158</v>
      </c>
      <c r="J21" s="1" t="s">
        <v>426</v>
      </c>
    </row>
    <row r="22" customFormat="false" ht="15" hidden="false" customHeight="true" outlineLevel="0" collapsed="false">
      <c r="A22" s="6" t="s">
        <v>427</v>
      </c>
      <c r="B22" s="44" t="s">
        <v>428</v>
      </c>
      <c r="D22" s="44" t="str">
        <f aca="false">TEXT(((1+3.45/100)*Nowcast!$B$5/Nowcast!$B$4-1)*100,"0.000")&amp;" to "&amp;TEXT(((1+3.55/100)*Nowcast!$B$5/Nowcast!$B$4-1)*100,"0.000")</f>
        <v>0.306 to 0.403</v>
      </c>
      <c r="E22" s="48" t="n">
        <f aca="false">NORMDIST(3.55,$B$4,$B$7,TRUE())-NORMDIST(3.45,$B$4,$B$7,TRUE())</f>
        <v>0.12442831214359</v>
      </c>
      <c r="F22" s="48" t="n">
        <f aca="false">AVERAGE(F12:G12)-AVERAGE(F13:G13)</f>
        <v>0.08</v>
      </c>
      <c r="H22" s="50" t="n">
        <f aca="false">E22-F22</f>
        <v>0.0444283121435901</v>
      </c>
      <c r="J22" s="1" t="s">
        <v>429</v>
      </c>
    </row>
    <row r="23" customFormat="false" ht="15" hidden="false" customHeight="true" outlineLevel="0" collapsed="false">
      <c r="A23" s="6" t="s">
        <v>430</v>
      </c>
      <c r="B23" s="44" t="s">
        <v>431</v>
      </c>
      <c r="D23" s="44" t="str">
        <f aca="false">TEXT(((1+3.55/100)*Nowcast!$B$5/Nowcast!$B$4-1)*100,"0.000")&amp;" to "&amp;TEXT(((1+3.65/100)*Nowcast!$B$5/Nowcast!$B$4-1)*100,"0.000")</f>
        <v>0.403 to 0.500</v>
      </c>
      <c r="E23" s="48" t="n">
        <f aca="false">NORMDIST(3.65,$B$4,$B$7,TRUE())-NORMDIST(3.55,$B$4,$B$7,TRUE())</f>
        <v>0.331979828337692</v>
      </c>
      <c r="F23" s="48" t="n">
        <f aca="false">AVERAGE(F13:G13)-AVERAGE(F14:G14)</f>
        <v>0.36</v>
      </c>
      <c r="H23" s="50" t="n">
        <f aca="false">E23-F23</f>
        <v>-0.0280201716623077</v>
      </c>
      <c r="J23" s="1" t="s">
        <v>432</v>
      </c>
    </row>
    <row r="24" customFormat="false" ht="15" hidden="false" customHeight="true" outlineLevel="0" collapsed="false">
      <c r="A24" s="6" t="s">
        <v>433</v>
      </c>
      <c r="B24" s="44" t="s">
        <v>434</v>
      </c>
      <c r="D24" s="44" t="str">
        <f aca="false">TEXT(((1+3.65/100)*Nowcast!$B$5/Nowcast!$B$4-1)*100,"0.000")&amp;" to "&amp;TEXT(((1+3.75/100)*Nowcast!$B$5/Nowcast!$B$4-1)*100,"0.000")</f>
        <v>0.500 to 0.597</v>
      </c>
      <c r="E24" s="48" t="n">
        <f aca="false">NORMDIST(3.75,$B$4,$B$7,TRUE())-NORMDIST(3.65,$B$4,$B$7,TRUE())</f>
        <v>0.351051393834147</v>
      </c>
      <c r="F24" s="48" t="n">
        <f aca="false">AVERAGE(F14:G14)-AVERAGE(F15:G15)</f>
        <v>0.41</v>
      </c>
      <c r="H24" s="50" t="n">
        <f aca="false">E24-F24</f>
        <v>-0.0589486061658535</v>
      </c>
    </row>
    <row r="25" customFormat="false" ht="15" hidden="false" customHeight="true" outlineLevel="0" collapsed="false">
      <c r="A25" s="6" t="s">
        <v>435</v>
      </c>
      <c r="B25" s="44" t="s">
        <v>436</v>
      </c>
      <c r="D25" s="44" t="str">
        <f aca="false">TEXT(((1+3.75/100)*Nowcast!$B$5/Nowcast!$B$4-1)*100,"0.000")&amp;" to "&amp;TEXT(((1+3.85/100)*Nowcast!$B$5/Nowcast!$B$4-1)*100,"0.000")</f>
        <v>0.597 to 0.694</v>
      </c>
      <c r="E25" s="48" t="n">
        <f aca="false">NORMDIST(3.85,$B$4,$B$7,TRUE())-NORMDIST(3.75,$B$4,$B$7,TRUE())</f>
        <v>0.147193266933166</v>
      </c>
      <c r="F25" s="48" t="n">
        <f aca="false">AVERAGE(F15:G15)-AVERAGE(F16:G16)</f>
        <v>0.1</v>
      </c>
      <c r="H25" s="50" t="n">
        <f aca="false">E25-F25</f>
        <v>0.0471932669331663</v>
      </c>
    </row>
    <row r="26" customFormat="false" ht="15" hidden="false" customHeight="true" outlineLevel="0" collapsed="false">
      <c r="A26" s="6" t="s">
        <v>437</v>
      </c>
      <c r="B26" s="44" t="s">
        <v>438</v>
      </c>
      <c r="D26" s="44" t="str">
        <f aca="false">TEXT(((1+3.85/100)*Nowcast!$B$5/Nowcast!$B$4-1)*100,"0.000")&amp;" or more"</f>
        <v>0.694 or more</v>
      </c>
      <c r="E26" s="48" t="n">
        <f aca="false">1-NORMDIST(3.85,$B$4,$B$7,TRUE())</f>
        <v>0.0259185422570206</v>
      </c>
      <c r="F26" s="48" t="n">
        <f aca="false">AVERAGE(F16:G16)</f>
        <v>0.005</v>
      </c>
      <c r="H26" s="50" t="n">
        <f aca="false">E26-F26</f>
        <v>0.0209185422570206</v>
      </c>
    </row>
    <row r="27" customFormat="false" ht="15" hidden="false" customHeight="true" outlineLevel="0" collapsed="false">
      <c r="A27" s="4" t="s">
        <v>439</v>
      </c>
      <c r="E27" s="24" t="n">
        <f aca="false">SUM(E21:E26)</f>
        <v>1</v>
      </c>
      <c r="F27" s="24" t="n">
        <f aca="false">SUM(F21:F26)</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14"/>
    <col collapsed="false" customWidth="true" hidden="false" outlineLevel="0" max="6" min="4" style="1" width="16"/>
    <col collapsed="false" customWidth="true" hidden="false" outlineLevel="0" max="7" min="7" style="1" width="14"/>
    <col collapsed="false" customWidth="true" hidden="false" outlineLevel="0" max="8" min="8" style="1" width="50"/>
  </cols>
  <sheetData>
    <row r="1" customFormat="false" ht="17.25" hidden="false" customHeight="true" outlineLevel="0" collapsed="false">
      <c r="A1" s="2" t="s">
        <v>440</v>
      </c>
    </row>
    <row r="2" customFormat="false" ht="15" hidden="false" customHeight="true" outlineLevel="0" collapsed="false">
      <c r="A2" s="3" t="s">
        <v>441</v>
      </c>
    </row>
    <row r="4" customFormat="false" ht="15" hidden="false" customHeight="true" outlineLevel="0" collapsed="false">
      <c r="A4" s="1" t="s">
        <v>442</v>
      </c>
      <c r="B4" s="9" t="n">
        <f aca="false">Nowcast!B44-Nowcast!B43</f>
        <v>0.100546223488247</v>
      </c>
    </row>
    <row r="6" customFormat="false" ht="34.5" hidden="false" customHeight="true" outlineLevel="0" collapsed="false">
      <c r="A6" s="5" t="s">
        <v>443</v>
      </c>
      <c r="B6" s="5" t="s">
        <v>444</v>
      </c>
      <c r="C6" s="5" t="s">
        <v>445</v>
      </c>
      <c r="D6" s="5" t="s">
        <v>446</v>
      </c>
      <c r="E6" s="5" t="s">
        <v>447</v>
      </c>
      <c r="F6" s="5" t="s">
        <v>448</v>
      </c>
      <c r="G6" s="5" t="s">
        <v>449</v>
      </c>
      <c r="H6" s="5" t="s">
        <v>450</v>
      </c>
    </row>
    <row r="7" customFormat="false" ht="15" hidden="false" customHeight="true" outlineLevel="0" collapsed="false">
      <c r="A7" s="51" t="s">
        <v>451</v>
      </c>
      <c r="B7" s="52" t="n">
        <f aca="false">Nowcast!B44</f>
        <v>0.606497211453939</v>
      </c>
      <c r="C7" s="44"/>
      <c r="D7" s="12" t="n">
        <f aca="false">Nowcast!B43</f>
        <v>0.505950987965692</v>
      </c>
      <c r="E7" s="15" t="n">
        <f aca="false">(Nowcast!$B$4*(1+D7/100)/Nowcast!$B$5-1)*100</f>
        <v>3.6560451414678</v>
      </c>
      <c r="F7" s="40" t="n">
        <f aca="false">ROUND(E7,1)</f>
        <v>3.7</v>
      </c>
      <c r="G7" s="52" t="n">
        <f aca="false">Nowcast!B57</f>
        <v>0.227817983391241</v>
      </c>
      <c r="H7" s="53" t="s">
        <v>452</v>
      </c>
    </row>
    <row r="8" customFormat="false" ht="15" hidden="false" customHeight="true" outlineLevel="0" collapsed="false">
      <c r="A8" s="6" t="s">
        <v>453</v>
      </c>
      <c r="B8" s="44"/>
      <c r="C8" s="16" t="n">
        <v>3.66</v>
      </c>
      <c r="D8" s="15" t="n">
        <f aca="false">((1+C8/100)*Nowcast!$B$5/Nowcast!$B$4-1)*100</f>
        <v>0.509785658845297</v>
      </c>
      <c r="E8" s="15" t="n">
        <f aca="false">(Nowcast!$B$4*(1+D8/100)/Nowcast!$B$5-1)*100</f>
        <v>3.66</v>
      </c>
      <c r="F8" s="40" t="n">
        <f aca="false">ROUND(E8,1)</f>
        <v>3.7</v>
      </c>
      <c r="G8" s="44"/>
      <c r="H8" s="53" t="s">
        <v>454</v>
      </c>
    </row>
    <row r="9" customFormat="false" ht="15" hidden="false" customHeight="true" outlineLevel="0" collapsed="false">
      <c r="A9" s="6" t="s">
        <v>455</v>
      </c>
      <c r="B9" s="16" t="n">
        <v>0.6</v>
      </c>
      <c r="C9" s="16" t="n">
        <v>3.6</v>
      </c>
      <c r="D9" s="15" t="n">
        <f aca="false">B9-$B$4</f>
        <v>0.499453776511753</v>
      </c>
      <c r="E9" s="15" t="n">
        <f aca="false">(Nowcast!$B$4*(1+D9/100)/Nowcast!$B$5-1)*100</f>
        <v>3.64934429204404</v>
      </c>
      <c r="F9" s="40" t="n">
        <f aca="false">ROUND(E9,1)</f>
        <v>3.6</v>
      </c>
      <c r="G9" s="16" t="n">
        <v>0.2</v>
      </c>
      <c r="H9" s="53" t="s">
        <v>456</v>
      </c>
    </row>
    <row r="10" customFormat="false" ht="15" hidden="false" customHeight="true" outlineLevel="0" collapsed="false">
      <c r="A10" s="6" t="s">
        <v>457</v>
      </c>
      <c r="B10" s="16" t="n">
        <v>0.6</v>
      </c>
      <c r="C10" s="16" t="n">
        <v>3.7</v>
      </c>
      <c r="D10" s="15" t="n">
        <f aca="false">B10-$B$4</f>
        <v>0.499453776511753</v>
      </c>
      <c r="E10" s="15" t="n">
        <f aca="false">(Nowcast!$B$4*(1+D10/100)/Nowcast!$B$5-1)*100</f>
        <v>3.64934429204404</v>
      </c>
      <c r="F10" s="40" t="n">
        <f aca="false">ROUND(E10,1)</f>
        <v>3.6</v>
      </c>
      <c r="G10" s="16" t="n">
        <v>0.2</v>
      </c>
      <c r="H10" s="53" t="s">
        <v>458</v>
      </c>
    </row>
    <row r="11" customFormat="false" ht="15" hidden="false" customHeight="true" outlineLevel="0" collapsed="false">
      <c r="A11" s="6" t="s">
        <v>459</v>
      </c>
      <c r="B11" s="16" t="n">
        <v>0.53</v>
      </c>
      <c r="C11" s="16" t="n">
        <v>3.6</v>
      </c>
      <c r="D11" s="15" t="n">
        <f aca="false">B11-$B$4</f>
        <v>0.429453776511753</v>
      </c>
      <c r="E11" s="15" t="n">
        <f aca="false">(Nowcast!$B$4*(1+D11/100)/Nowcast!$B$5-1)*100</f>
        <v>3.57715032652681</v>
      </c>
      <c r="F11" s="40" t="n">
        <f aca="false">ROUND(E11,1)</f>
        <v>3.6</v>
      </c>
      <c r="G11" s="16" t="n">
        <v>0.2</v>
      </c>
      <c r="H11" s="53" t="s">
        <v>460</v>
      </c>
    </row>
    <row r="12" customFormat="false" ht="15" hidden="false" customHeight="true" outlineLevel="0" collapsed="false">
      <c r="A12" s="6" t="s">
        <v>461</v>
      </c>
      <c r="B12" s="16" t="n">
        <v>0.57</v>
      </c>
      <c r="C12" s="16" t="n">
        <v>3.64</v>
      </c>
      <c r="D12" s="15" t="n">
        <f aca="false">B12-$B$4</f>
        <v>0.469453776511753</v>
      </c>
      <c r="E12" s="15" t="n">
        <f aca="false">(Nowcast!$B$4*(1+D12/100)/Nowcast!$B$5-1)*100</f>
        <v>3.61840402110809</v>
      </c>
      <c r="F12" s="40" t="n">
        <f aca="false">ROUND(E12,1)</f>
        <v>3.6</v>
      </c>
      <c r="G12" s="16" t="n">
        <v>0.2</v>
      </c>
      <c r="H12" s="53" t="s">
        <v>462</v>
      </c>
    </row>
    <row r="13" customFormat="false" ht="15" hidden="false" customHeight="true" outlineLevel="0" collapsed="false">
      <c r="A13" s="6" t="s">
        <v>463</v>
      </c>
      <c r="B13" s="16" t="n">
        <v>0.59</v>
      </c>
      <c r="C13" s="44"/>
      <c r="D13" s="15" t="n">
        <f aca="false">B13-$B$4</f>
        <v>0.489453776511753</v>
      </c>
      <c r="E13" s="15" t="n">
        <f aca="false">(Nowcast!$B$4*(1+D13/100)/Nowcast!$B$5-1)*100</f>
        <v>3.63903086839874</v>
      </c>
      <c r="F13" s="40" t="n">
        <f aca="false">ROUND(E13,1)</f>
        <v>3.6</v>
      </c>
      <c r="G13" s="16" t="n">
        <v>0.2</v>
      </c>
      <c r="H13" s="53" t="s">
        <v>464</v>
      </c>
    </row>
    <row r="14" customFormat="false" ht="15" hidden="false" customHeight="true" outlineLevel="0" collapsed="false">
      <c r="A14" s="6" t="s">
        <v>465</v>
      </c>
      <c r="B14" s="44"/>
      <c r="C14" s="16" t="n">
        <v>3.64</v>
      </c>
      <c r="D14" s="15" t="n">
        <f aca="false">((1+C14/100)*Nowcast!$B$5/Nowcast!$B$4-1)*100</f>
        <v>0.490393456325755</v>
      </c>
      <c r="E14" s="15" t="n">
        <f aca="false">(Nowcast!$B$4*(1+D14/100)/Nowcast!$B$5-1)*100</f>
        <v>3.64</v>
      </c>
      <c r="F14" s="40" t="n">
        <f aca="false">ROUND(E14,1)</f>
        <v>3.6</v>
      </c>
      <c r="G14" s="16" t="n">
        <v>0.2</v>
      </c>
      <c r="H14" s="53" t="s">
        <v>466</v>
      </c>
    </row>
    <row r="15" customFormat="false" ht="15" hidden="false" customHeight="true" outlineLevel="0" collapsed="false">
      <c r="A15" s="6" t="s">
        <v>467</v>
      </c>
      <c r="B15" s="16" t="n">
        <v>0.48</v>
      </c>
      <c r="C15" s="16" t="n">
        <v>3.6</v>
      </c>
      <c r="D15" s="15" t="n">
        <f aca="false">B15-$B$4</f>
        <v>0.379453776511753</v>
      </c>
      <c r="E15" s="15" t="n">
        <f aca="false">(Nowcast!$B$4*(1+D15/100)/Nowcast!$B$5-1)*100</f>
        <v>3.52558320830021</v>
      </c>
      <c r="F15" s="40" t="n">
        <f aca="false">ROUND(E15,1)</f>
        <v>3.5</v>
      </c>
      <c r="G15" s="44"/>
      <c r="H15" s="53" t="s">
        <v>468</v>
      </c>
    </row>
    <row r="16" customFormat="false" ht="15" hidden="false" customHeight="true" outlineLevel="0" collapsed="false">
      <c r="A16" s="6" t="s">
        <v>469</v>
      </c>
      <c r="B16" s="16" t="n">
        <v>0.5</v>
      </c>
      <c r="C16" s="44"/>
      <c r="D16" s="15" t="n">
        <f aca="false">B16-$B$4</f>
        <v>0.399453776511753</v>
      </c>
      <c r="E16" s="15" t="n">
        <f aca="false">(Nowcast!$B$4*(1+D16/100)/Nowcast!$B$5-1)*100</f>
        <v>3.54621005559086</v>
      </c>
      <c r="F16" s="40" t="n">
        <f aca="false">ROUND(E16,1)</f>
        <v>3.5</v>
      </c>
      <c r="G16" s="16" t="n">
        <v>0.2</v>
      </c>
      <c r="H16" s="53" t="s">
        <v>470</v>
      </c>
    </row>
    <row r="17" customFormat="false" ht="15" hidden="false" customHeight="true" outlineLevel="0" collapsed="false">
      <c r="A17" s="6" t="s">
        <v>471</v>
      </c>
      <c r="B17" s="44"/>
      <c r="C17" s="44"/>
      <c r="D17" s="44"/>
      <c r="E17" s="44"/>
      <c r="F17" s="44"/>
      <c r="G17" s="44"/>
      <c r="H17" s="53" t="s">
        <v>472</v>
      </c>
    </row>
    <row r="20" customFormat="false" ht="15" hidden="false" customHeight="true" outlineLevel="0" collapsed="false">
      <c r="A20" s="3" t="s">
        <v>473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17.25" hidden="false" customHeight="true" outlineLevel="0" collapsed="false">
      <c r="A1" s="2" t="s">
        <v>474</v>
      </c>
    </row>
    <row r="3" customFormat="false" ht="15" hidden="false" customHeight="true" outlineLevel="0" collapsed="false">
      <c r="A3" s="3" t="s">
        <v>475</v>
      </c>
    </row>
    <row r="4" customFormat="false" ht="15" hidden="false" customHeight="true" outlineLevel="0" collapsed="false">
      <c r="A4" s="3" t="s">
        <v>476</v>
      </c>
    </row>
    <row r="5" customFormat="false" ht="15" hidden="false" customHeight="true" outlineLevel="0" collapsed="false">
      <c r="A5" s="3" t="s">
        <v>477</v>
      </c>
    </row>
    <row r="6" customFormat="false" ht="15" hidden="false" customHeight="true" outlineLevel="0" collapsed="false">
      <c r="A6" s="3" t="s">
        <v>478</v>
      </c>
    </row>
    <row r="7" customFormat="false" ht="15" hidden="false" customHeight="true" outlineLevel="0" collapsed="false">
      <c r="A7" s="3" t="s">
        <v>479</v>
      </c>
    </row>
    <row r="8" customFormat="false" ht="15" hidden="false" customHeight="true" outlineLevel="0" collapsed="false">
      <c r="A8" s="3" t="s">
        <v>480</v>
      </c>
    </row>
    <row r="9" customFormat="false" ht="15" hidden="false" customHeight="true" outlineLevel="0" collapsed="false">
      <c r="A9" s="3" t="s">
        <v>481</v>
      </c>
    </row>
    <row r="10" customFormat="false" ht="15" hidden="false" customHeight="true" outlineLevel="0" collapsed="false">
      <c r="A10" s="3" t="s">
        <v>482</v>
      </c>
    </row>
    <row r="11" customFormat="false" ht="15" hidden="false" customHeight="true" outlineLevel="0" collapsed="false">
      <c r="A11" s="3" t="s">
        <v>483</v>
      </c>
    </row>
    <row r="12" customFormat="false" ht="15" hidden="false" customHeight="true" outlineLevel="0" collapsed="false">
      <c r="A12" s="3" t="s">
        <v>484</v>
      </c>
    </row>
    <row r="13" customFormat="false" ht="15" hidden="false" customHeight="true" outlineLevel="0" collapsed="false">
      <c r="A13" s="3" t="s">
        <v>485</v>
      </c>
    </row>
    <row r="14" customFormat="false" ht="15" hidden="false" customHeight="true" outlineLevel="0" collapsed="false">
      <c r="A14" s="3" t="s">
        <v>486</v>
      </c>
    </row>
    <row r="15" customFormat="false" ht="15" hidden="false" customHeight="true" outlineLevel="0" collapsed="false">
      <c r="A15" s="3" t="s">
        <v>487</v>
      </c>
    </row>
    <row r="16" customFormat="false" ht="15" hidden="false" customHeight="true" outlineLevel="0" collapsed="false">
      <c r="A16" s="3" t="s">
        <v>488</v>
      </c>
    </row>
    <row r="17" customFormat="false" ht="15" hidden="false" customHeight="true" outlineLevel="0" collapsed="false">
      <c r="A17" s="3" t="s">
        <v>489</v>
      </c>
    </row>
    <row r="18" customFormat="false" ht="15" hidden="false" customHeight="true" outlineLevel="0" collapsed="false">
      <c r="A18" s="3" t="s">
        <v>490</v>
      </c>
    </row>
    <row r="19" customFormat="false" ht="15" hidden="false" customHeight="true" outlineLevel="0" collapsed="false">
      <c r="A19" s="3" t="s">
        <v>491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2"/>
    <col collapsed="false" customWidth="true" hidden="false" outlineLevel="0" max="3" min="3" style="1" width="4"/>
    <col collapsed="false" customWidth="true" hidden="false" outlineLevel="0" max="4" min="4" style="1" width="12"/>
    <col collapsed="false" customWidth="true" hidden="false" outlineLevel="0" max="6" min="5" style="1" width="14"/>
    <col collapsed="false" customWidth="true" hidden="false" outlineLevel="0" max="7" min="7" style="1" width="16"/>
    <col collapsed="false" customWidth="true" hidden="false" outlineLevel="0" max="8" min="8" style="1" width="14"/>
    <col collapsed="false" customWidth="true" hidden="false" outlineLevel="0" max="9" min="9" style="1" width="50"/>
  </cols>
  <sheetData>
    <row r="1" customFormat="false" ht="17.25" hidden="false" customHeight="true" outlineLevel="0" collapsed="false">
      <c r="A1" s="2" t="s">
        <v>492</v>
      </c>
    </row>
    <row r="2" customFormat="false" ht="15" hidden="false" customHeight="true" outlineLevel="0" collapsed="false">
      <c r="A2" s="3" t="s">
        <v>493</v>
      </c>
    </row>
    <row r="4" customFormat="false" ht="23.25" hidden="false" customHeight="true" outlineLevel="0" collapsed="false">
      <c r="A4" s="5" t="s">
        <v>494</v>
      </c>
      <c r="B4" s="5" t="s">
        <v>495</v>
      </c>
      <c r="C4" s="5"/>
      <c r="D4" s="5" t="s">
        <v>496</v>
      </c>
      <c r="E4" s="5" t="s">
        <v>497</v>
      </c>
      <c r="F4" s="5" t="s">
        <v>498</v>
      </c>
      <c r="G4" s="5" t="s">
        <v>499</v>
      </c>
      <c r="H4" s="5" t="s">
        <v>500</v>
      </c>
      <c r="I4" s="5" t="s">
        <v>190</v>
      </c>
    </row>
    <row r="5" customFormat="false" ht="15" hidden="false" customHeight="true" outlineLevel="0" collapsed="false">
      <c r="A5" s="54" t="n">
        <v>45845</v>
      </c>
      <c r="B5" s="55" t="n">
        <v>3.125</v>
      </c>
      <c r="D5" s="6" t="s">
        <v>356</v>
      </c>
      <c r="E5" s="15" t="n">
        <f aca="false">AVERAGEIFS($B$5:$B$70,$A$5:$A$70,"&gt;="&amp;DATE(2025,7,1),$A$5:$A$70,"&lt;"&amp;DATE(2025,8,1))</f>
        <v>3.12475</v>
      </c>
      <c r="F5" s="44"/>
      <c r="G5" s="44"/>
      <c r="H5" s="44"/>
    </row>
    <row r="6" customFormat="false" ht="15" hidden="false" customHeight="true" outlineLevel="0" collapsed="false">
      <c r="A6" s="54" t="n">
        <v>45852</v>
      </c>
      <c r="B6" s="55" t="n">
        <v>3.13</v>
      </c>
      <c r="D6" s="6" t="s">
        <v>357</v>
      </c>
      <c r="E6" s="15" t="n">
        <f aca="false">AVERAGEIFS($B$5:$B$70,$A$5:$A$70,"&gt;="&amp;DATE(2025,8,1),$A$5:$A$70,"&lt;"&amp;DATE(2025,9,1))</f>
        <v>3.1325</v>
      </c>
      <c r="F6" s="17" t="n">
        <f aca="false">(E6/E5-1)*100</f>
        <v>0.24801984158731</v>
      </c>
      <c r="G6" s="44"/>
      <c r="H6" s="44"/>
      <c r="I6" s="53" t="s">
        <v>501</v>
      </c>
    </row>
    <row r="7" customFormat="false" ht="15" hidden="false" customHeight="true" outlineLevel="0" collapsed="false">
      <c r="A7" s="54" t="n">
        <v>45859</v>
      </c>
      <c r="B7" s="55" t="n">
        <v>3.121</v>
      </c>
      <c r="D7" s="6" t="s">
        <v>358</v>
      </c>
      <c r="E7" s="15" t="n">
        <f aca="false">AVERAGEIFS($B$5:$B$70,$A$5:$A$70,"&gt;="&amp;DATE(2025,9,1),$A$5:$A$70,"&lt;"&amp;DATE(2025,10,1))</f>
        <v>3.1656</v>
      </c>
      <c r="F7" s="17" t="n">
        <f aca="false">(E7/E6-1)*100</f>
        <v>1.05666400638469</v>
      </c>
      <c r="G7" s="16" t="n">
        <v>1.146</v>
      </c>
      <c r="H7" s="38" t="n">
        <f aca="false">F7-G7</f>
        <v>-0.0893359936153111</v>
      </c>
      <c r="I7" s="53" t="s">
        <v>502</v>
      </c>
    </row>
    <row r="8" customFormat="false" ht="15" hidden="false" customHeight="true" outlineLevel="0" collapsed="false">
      <c r="A8" s="54" t="n">
        <v>45866</v>
      </c>
      <c r="B8" s="55" t="n">
        <v>3.123</v>
      </c>
      <c r="D8" s="6" t="s">
        <v>503</v>
      </c>
      <c r="E8" s="15" t="n">
        <f aca="false">AVERAGEIFS($B$5:$B$70,$A$5:$A$70,"&gt;="&amp;DATE(2025,10,1),$A$5:$A$70,"&lt;"&amp;DATE(2025,11,1))</f>
        <v>3.05975</v>
      </c>
      <c r="F8" s="17" t="n">
        <f aca="false">(E8/E7-1)*100</f>
        <v>-3.34375789739702</v>
      </c>
      <c r="G8" s="44"/>
      <c r="H8" s="44"/>
      <c r="I8" s="53" t="s">
        <v>504</v>
      </c>
    </row>
    <row r="9" customFormat="false" ht="15" hidden="false" customHeight="true" outlineLevel="0" collapsed="false">
      <c r="A9" s="54" t="n">
        <v>45873</v>
      </c>
      <c r="B9" s="55" t="n">
        <v>3.14</v>
      </c>
      <c r="D9" s="6" t="s">
        <v>505</v>
      </c>
      <c r="E9" s="15" t="n">
        <f aca="false">AVERAGEIFS($B$5:$B$70,$A$5:$A$70,"&gt;="&amp;DATE(2025,11,1),$A$5:$A$70,"&lt;"&amp;DATE(2025,12,1))</f>
        <v>3.0495</v>
      </c>
      <c r="F9" s="17" t="n">
        <f aca="false">(E9/E8-1)*100</f>
        <v>-0.334994689108592</v>
      </c>
      <c r="G9" s="44"/>
      <c r="H9" s="44"/>
    </row>
    <row r="10" customFormat="false" ht="15" hidden="false" customHeight="true" outlineLevel="0" collapsed="false">
      <c r="A10" s="54" t="n">
        <v>45880</v>
      </c>
      <c r="B10" s="55" t="n">
        <v>3.118</v>
      </c>
      <c r="D10" s="6" t="s">
        <v>359</v>
      </c>
      <c r="E10" s="15" t="n">
        <f aca="false">AVERAGEIFS($B$5:$B$70,$A$5:$A$70,"&gt;="&amp;DATE(2025,12,1),$A$5:$A$70,"&lt;"&amp;DATE(2026,1,1))</f>
        <v>2.8944</v>
      </c>
      <c r="F10" s="17" t="n">
        <f aca="false">(E10/E9-1)*100</f>
        <v>-5.08607968519429</v>
      </c>
      <c r="G10" s="44"/>
      <c r="H10" s="44"/>
    </row>
    <row r="11" customFormat="false" ht="15" hidden="false" customHeight="true" outlineLevel="0" collapsed="false">
      <c r="A11" s="54" t="n">
        <v>45887</v>
      </c>
      <c r="B11" s="55" t="n">
        <v>3.125</v>
      </c>
      <c r="D11" s="6" t="s">
        <v>360</v>
      </c>
      <c r="E11" s="15" t="n">
        <f aca="false">AVERAGEIFS($B$5:$B$70,$A$5:$A$70,"&gt;="&amp;DATE(2026,1,1),$A$5:$A$70,"&lt;"&amp;DATE(2026,2,1))</f>
        <v>2.8085</v>
      </c>
      <c r="F11" s="17" t="n">
        <f aca="false">(E11/E10-1)*100</f>
        <v>-2.96779988944168</v>
      </c>
      <c r="G11" s="44"/>
      <c r="H11" s="44"/>
    </row>
    <row r="12" customFormat="false" ht="15" hidden="false" customHeight="true" outlineLevel="0" collapsed="false">
      <c r="A12" s="54" t="n">
        <v>45894</v>
      </c>
      <c r="B12" s="55" t="n">
        <v>3.147</v>
      </c>
      <c r="D12" s="6" t="s">
        <v>361</v>
      </c>
      <c r="E12" s="15" t="n">
        <f aca="false">AVERAGEIFS($B$5:$B$70,$A$5:$A$70,"&gt;="&amp;DATE(2026,2,1),$A$5:$A$70,"&lt;"&amp;DATE(2026,3,1))</f>
        <v>2.9075</v>
      </c>
      <c r="F12" s="17" t="n">
        <f aca="false">(E12/E11-1)*100</f>
        <v>3.52501335232329</v>
      </c>
      <c r="G12" s="44"/>
      <c r="H12" s="44"/>
    </row>
    <row r="13" customFormat="false" ht="15" hidden="false" customHeight="true" outlineLevel="0" collapsed="false">
      <c r="A13" s="54" t="n">
        <v>45901</v>
      </c>
      <c r="B13" s="55" t="n">
        <v>3.177</v>
      </c>
      <c r="D13" s="6" t="s">
        <v>362</v>
      </c>
      <c r="E13" s="15" t="n">
        <f aca="false">AVERAGEIFS($B$5:$B$70,$A$5:$A$70,"&gt;="&amp;DATE(2026,3,1),$A$5:$A$70,"&lt;"&amp;DATE(2026,4,1))</f>
        <v>3.6376</v>
      </c>
      <c r="F13" s="17" t="n">
        <f aca="false">(E13/E12-1)*100</f>
        <v>25.1109200343938</v>
      </c>
      <c r="G13" s="44"/>
      <c r="H13" s="44"/>
    </row>
    <row r="14" customFormat="false" ht="15" hidden="false" customHeight="true" outlineLevel="0" collapsed="false">
      <c r="A14" s="54" t="n">
        <v>45908</v>
      </c>
      <c r="B14" s="55" t="n">
        <v>3.192</v>
      </c>
      <c r="D14" s="6" t="s">
        <v>363</v>
      </c>
      <c r="E14" s="15" t="n">
        <f aca="false">AVERAGEIFS($B$5:$B$70,$A$5:$A$70,"&gt;="&amp;DATE(2026,4,1),$A$5:$A$70,"&lt;"&amp;DATE(2026,5,1))</f>
        <v>4.1025</v>
      </c>
      <c r="F14" s="17" t="n">
        <f aca="false">(E14/E13-1)*100</f>
        <v>12.7804046624148</v>
      </c>
      <c r="G14" s="44"/>
      <c r="H14" s="44"/>
    </row>
    <row r="15" customFormat="false" ht="15" hidden="false" customHeight="true" outlineLevel="0" collapsed="false">
      <c r="A15" s="54" t="n">
        <v>45915</v>
      </c>
      <c r="B15" s="55" t="n">
        <v>3.168</v>
      </c>
      <c r="D15" s="6" t="s">
        <v>364</v>
      </c>
      <c r="E15" s="15" t="n">
        <f aca="false">AVERAGEIFS($B$5:$B$70,$A$5:$A$70,"&gt;="&amp;DATE(2026,5,1),$A$5:$A$70,"&lt;"&amp;DATE(2026,6,1))</f>
        <v>4.47925</v>
      </c>
      <c r="F15" s="17" t="n">
        <f aca="false">(E15/E14-1)*100</f>
        <v>9.18342474101159</v>
      </c>
      <c r="G15" s="44"/>
      <c r="H15" s="44"/>
    </row>
    <row r="16" customFormat="false" ht="15" hidden="false" customHeight="true" outlineLevel="0" collapsed="false">
      <c r="A16" s="54" t="n">
        <v>45922</v>
      </c>
      <c r="B16" s="55" t="n">
        <v>3.173</v>
      </c>
      <c r="D16" s="6" t="s">
        <v>365</v>
      </c>
      <c r="E16" s="15" t="n">
        <f aca="false">AVERAGEIFS($B$5:$B$70,$A$5:$A$70,"&gt;="&amp;DATE(2026,6,1),$A$5:$A$70,"&lt;"&amp;DATE(2026,7,1))</f>
        <v>4.0496</v>
      </c>
      <c r="F16" s="17" t="n">
        <f aca="false">(E16/E15-1)*100</f>
        <v>-9.59200759055646</v>
      </c>
      <c r="G16" s="44"/>
      <c r="H16" s="44"/>
    </row>
    <row r="17" customFormat="false" ht="15" hidden="false" customHeight="true" outlineLevel="0" collapsed="false">
      <c r="A17" s="54" t="n">
        <v>45929</v>
      </c>
      <c r="B17" s="55" t="n">
        <v>3.118</v>
      </c>
      <c r="D17" s="6" t="s">
        <v>366</v>
      </c>
      <c r="E17" s="15" t="n">
        <f aca="false">AVERAGEIFS($B$5:$B$70,$A$5:$A$70,"&gt;="&amp;DATE(2026,7,1),$A$5:$A$70,"&lt;"&amp;DATE(2026,8,1))</f>
        <v>3.93225</v>
      </c>
      <c r="F17" s="17" t="n">
        <f aca="false">(E17/E16-1)*100</f>
        <v>-2.89781706835242</v>
      </c>
      <c r="G17" s="44"/>
      <c r="H17" s="44"/>
    </row>
    <row r="18" customFormat="false" ht="15" hidden="false" customHeight="true" outlineLevel="0" collapsed="false">
      <c r="A18" s="54" t="n">
        <v>45936</v>
      </c>
      <c r="B18" s="55" t="n">
        <v>3.124</v>
      </c>
      <c r="D18" s="6" t="s">
        <v>367</v>
      </c>
      <c r="E18" s="15" t="n">
        <f aca="false">AVERAGEIFS($B$5:$B$70,$A$5:$A$70,"&gt;="&amp;DATE(2026,8,1),$A$5:$A$70,"&lt;"&amp;DATE(2026,9,1))</f>
        <v>4.058</v>
      </c>
      <c r="F18" s="17" t="n">
        <f aca="false">(E18/E17-1)*100</f>
        <v>3.19791467989063</v>
      </c>
      <c r="G18" s="16" t="n">
        <v>2.534</v>
      </c>
      <c r="H18" s="38" t="n">
        <f aca="false">F18-G18</f>
        <v>0.663914679890635</v>
      </c>
    </row>
    <row r="19" customFormat="false" ht="15" hidden="false" customHeight="true" outlineLevel="0" collapsed="false">
      <c r="A19" s="54" t="n">
        <v>45943</v>
      </c>
      <c r="B19" s="55" t="n">
        <v>3.061</v>
      </c>
      <c r="D19" s="6" t="s">
        <v>368</v>
      </c>
      <c r="E19" s="15" t="n">
        <f aca="false">AVERAGEIFS($B$5:$B$70,$A$5:$A$70,"&gt;="&amp;DATE(2026,9,1),$A$5:$A$70,"&lt;"&amp;DATE(2026,10,1))</f>
        <v>4.35475</v>
      </c>
      <c r="F19" s="17" t="n">
        <f aca="false">(E19/E18-1)*100</f>
        <v>7.31271562345983</v>
      </c>
      <c r="G19" s="44"/>
      <c r="H19" s="44"/>
      <c r="I19" s="53" t="s">
        <v>506</v>
      </c>
    </row>
    <row r="20" customFormat="false" ht="15" hidden="false" customHeight="true" outlineLevel="0" collapsed="false">
      <c r="A20" s="54" t="n">
        <v>45950</v>
      </c>
      <c r="B20" s="55" t="n">
        <v>3.019</v>
      </c>
    </row>
    <row r="21" customFormat="false" ht="15" hidden="false" customHeight="true" outlineLevel="0" collapsed="false">
      <c r="A21" s="54" t="n">
        <v>45957</v>
      </c>
      <c r="B21" s="55" t="n">
        <v>3.035</v>
      </c>
    </row>
    <row r="22" customFormat="false" ht="15" hidden="false" customHeight="true" outlineLevel="0" collapsed="false">
      <c r="A22" s="54" t="n">
        <v>45964</v>
      </c>
      <c r="B22" s="55" t="n">
        <v>3.019</v>
      </c>
    </row>
    <row r="23" customFormat="false" ht="15" hidden="false" customHeight="true" outlineLevel="0" collapsed="false">
      <c r="A23" s="54" t="n">
        <v>45971</v>
      </c>
      <c r="B23" s="55" t="n">
        <v>3.056</v>
      </c>
    </row>
    <row r="24" customFormat="false" ht="15" hidden="false" customHeight="true" outlineLevel="0" collapsed="false">
      <c r="A24" s="54" t="n">
        <v>45978</v>
      </c>
      <c r="B24" s="55" t="n">
        <v>3.062</v>
      </c>
    </row>
    <row r="25" customFormat="false" ht="15" hidden="false" customHeight="true" outlineLevel="0" collapsed="false">
      <c r="A25" s="54" t="n">
        <v>45985</v>
      </c>
      <c r="B25" s="55" t="n">
        <v>3.061</v>
      </c>
    </row>
    <row r="26" customFormat="false" ht="15" hidden="false" customHeight="true" outlineLevel="0" collapsed="false">
      <c r="A26" s="54" t="n">
        <v>45992</v>
      </c>
      <c r="B26" s="55" t="n">
        <v>2.985</v>
      </c>
    </row>
    <row r="27" customFormat="false" ht="15" hidden="false" customHeight="true" outlineLevel="0" collapsed="false">
      <c r="A27" s="54" t="n">
        <v>45999</v>
      </c>
      <c r="B27" s="55" t="n">
        <v>2.94</v>
      </c>
    </row>
    <row r="28" customFormat="false" ht="15" hidden="false" customHeight="true" outlineLevel="0" collapsed="false">
      <c r="A28" s="54" t="n">
        <v>46006</v>
      </c>
      <c r="B28" s="55" t="n">
        <v>2.895</v>
      </c>
    </row>
    <row r="29" customFormat="false" ht="15" hidden="false" customHeight="true" outlineLevel="0" collapsed="false">
      <c r="A29" s="54" t="n">
        <v>46013</v>
      </c>
      <c r="B29" s="55" t="n">
        <v>2.841</v>
      </c>
    </row>
    <row r="30" customFormat="false" ht="15" hidden="false" customHeight="true" outlineLevel="0" collapsed="false">
      <c r="A30" s="54" t="n">
        <v>46020</v>
      </c>
      <c r="B30" s="55" t="n">
        <v>2.811</v>
      </c>
    </row>
    <row r="31" customFormat="false" ht="15" hidden="false" customHeight="true" outlineLevel="0" collapsed="false">
      <c r="A31" s="54" t="n">
        <v>46027</v>
      </c>
      <c r="B31" s="55" t="n">
        <v>2.796</v>
      </c>
    </row>
    <row r="32" customFormat="false" ht="15" hidden="false" customHeight="true" outlineLevel="0" collapsed="false">
      <c r="A32" s="54" t="n">
        <v>46034</v>
      </c>
      <c r="B32" s="55" t="n">
        <v>2.779</v>
      </c>
    </row>
    <row r="33" customFormat="false" ht="15" hidden="false" customHeight="true" outlineLevel="0" collapsed="false">
      <c r="A33" s="54" t="n">
        <v>46041</v>
      </c>
      <c r="B33" s="55" t="n">
        <v>2.806</v>
      </c>
    </row>
    <row r="34" customFormat="false" ht="15" hidden="false" customHeight="true" outlineLevel="0" collapsed="false">
      <c r="A34" s="54" t="n">
        <v>46048</v>
      </c>
      <c r="B34" s="55" t="n">
        <v>2.853</v>
      </c>
    </row>
    <row r="35" customFormat="false" ht="15" hidden="false" customHeight="true" outlineLevel="0" collapsed="false">
      <c r="A35" s="54" t="n">
        <v>46055</v>
      </c>
      <c r="B35" s="55" t="n">
        <v>2.867</v>
      </c>
    </row>
    <row r="36" customFormat="false" ht="15" hidden="false" customHeight="true" outlineLevel="0" collapsed="false">
      <c r="A36" s="54" t="n">
        <v>46062</v>
      </c>
      <c r="B36" s="55" t="n">
        <v>2.902</v>
      </c>
    </row>
    <row r="37" customFormat="false" ht="15" hidden="false" customHeight="true" outlineLevel="0" collapsed="false">
      <c r="A37" s="54" t="n">
        <v>46069</v>
      </c>
      <c r="B37" s="55" t="n">
        <v>2.924</v>
      </c>
    </row>
    <row r="38" customFormat="false" ht="15" hidden="false" customHeight="true" outlineLevel="0" collapsed="false">
      <c r="A38" s="54" t="n">
        <v>46076</v>
      </c>
      <c r="B38" s="55" t="n">
        <v>2.937</v>
      </c>
    </row>
    <row r="39" customFormat="false" ht="15" hidden="false" customHeight="true" outlineLevel="0" collapsed="false">
      <c r="A39" s="54" t="n">
        <v>46083</v>
      </c>
      <c r="B39" s="55" t="n">
        <v>3.015</v>
      </c>
    </row>
    <row r="40" customFormat="false" ht="15" hidden="false" customHeight="true" outlineLevel="0" collapsed="false">
      <c r="A40" s="54" t="n">
        <v>46090</v>
      </c>
      <c r="B40" s="55" t="n">
        <v>3.502</v>
      </c>
    </row>
    <row r="41" customFormat="false" ht="15" hidden="false" customHeight="true" outlineLevel="0" collapsed="false">
      <c r="A41" s="54" t="n">
        <v>46097</v>
      </c>
      <c r="B41" s="55" t="n">
        <v>3.72</v>
      </c>
    </row>
    <row r="42" customFormat="false" ht="15" hidden="false" customHeight="true" outlineLevel="0" collapsed="false">
      <c r="A42" s="54" t="n">
        <v>46104</v>
      </c>
      <c r="B42" s="55" t="n">
        <v>3.961</v>
      </c>
    </row>
    <row r="43" customFormat="false" ht="15" hidden="false" customHeight="true" outlineLevel="0" collapsed="false">
      <c r="A43" s="54" t="n">
        <v>46111</v>
      </c>
      <c r="B43" s="55" t="n">
        <v>3.99</v>
      </c>
    </row>
    <row r="44" customFormat="false" ht="15" hidden="false" customHeight="true" outlineLevel="0" collapsed="false">
      <c r="A44" s="54" t="n">
        <v>46118</v>
      </c>
      <c r="B44" s="55" t="n">
        <v>4.12</v>
      </c>
    </row>
    <row r="45" customFormat="false" ht="15" hidden="false" customHeight="true" outlineLevel="0" collapsed="false">
      <c r="A45" s="54" t="n">
        <v>46125</v>
      </c>
      <c r="B45" s="55" t="n">
        <v>4.123</v>
      </c>
    </row>
    <row r="46" customFormat="false" ht="15" hidden="false" customHeight="true" outlineLevel="0" collapsed="false">
      <c r="A46" s="54" t="n">
        <v>46132</v>
      </c>
      <c r="B46" s="55" t="n">
        <v>4.044</v>
      </c>
    </row>
    <row r="47" customFormat="false" ht="15" hidden="false" customHeight="true" outlineLevel="0" collapsed="false">
      <c r="A47" s="54" t="n">
        <v>46139</v>
      </c>
      <c r="B47" s="55" t="n">
        <v>4.123</v>
      </c>
    </row>
    <row r="48" customFormat="false" ht="15" hidden="false" customHeight="true" outlineLevel="0" collapsed="false">
      <c r="A48" s="54" t="n">
        <v>46146</v>
      </c>
      <c r="B48" s="55" t="n">
        <v>4.452</v>
      </c>
    </row>
    <row r="49" customFormat="false" ht="15" hidden="false" customHeight="true" outlineLevel="0" collapsed="false">
      <c r="A49" s="54" t="n">
        <v>46153</v>
      </c>
      <c r="B49" s="55" t="n">
        <v>4.5</v>
      </c>
    </row>
    <row r="50" customFormat="false" ht="15" hidden="false" customHeight="true" outlineLevel="0" collapsed="false">
      <c r="A50" s="54" t="n">
        <v>46160</v>
      </c>
      <c r="B50" s="55" t="n">
        <v>4.49</v>
      </c>
    </row>
    <row r="51" customFormat="false" ht="15" hidden="false" customHeight="true" outlineLevel="0" collapsed="false">
      <c r="A51" s="54" t="n">
        <v>46167</v>
      </c>
      <c r="B51" s="55" t="n">
        <v>4.475</v>
      </c>
    </row>
    <row r="52" customFormat="false" ht="15" hidden="false" customHeight="true" outlineLevel="0" collapsed="false">
      <c r="A52" s="54" t="n">
        <v>46174</v>
      </c>
      <c r="B52" s="55" t="n">
        <v>4.305</v>
      </c>
    </row>
    <row r="53" customFormat="false" ht="15" hidden="false" customHeight="true" outlineLevel="0" collapsed="false">
      <c r="A53" s="54" t="n">
        <v>46181</v>
      </c>
      <c r="B53" s="55" t="n">
        <v>4.146</v>
      </c>
    </row>
    <row r="54" customFormat="false" ht="15" hidden="false" customHeight="true" outlineLevel="0" collapsed="false">
      <c r="A54" s="54" t="n">
        <v>46188</v>
      </c>
      <c r="B54" s="55" t="n">
        <v>4.052</v>
      </c>
    </row>
    <row r="55" customFormat="false" ht="15" hidden="false" customHeight="true" outlineLevel="0" collapsed="false">
      <c r="A55" s="54" t="n">
        <v>46195</v>
      </c>
      <c r="B55" s="55" t="n">
        <v>3.914</v>
      </c>
    </row>
    <row r="56" customFormat="false" ht="15" hidden="false" customHeight="true" outlineLevel="0" collapsed="false">
      <c r="A56" s="54" t="n">
        <v>46202</v>
      </c>
      <c r="B56" s="55" t="n">
        <v>3.831</v>
      </c>
    </row>
    <row r="57" customFormat="false" ht="15" hidden="false" customHeight="true" outlineLevel="0" collapsed="false">
      <c r="A57" s="54" t="n">
        <v>46209</v>
      </c>
      <c r="B57" s="55" t="n">
        <v>3.777</v>
      </c>
    </row>
    <row r="58" customFormat="false" ht="15" hidden="false" customHeight="true" outlineLevel="0" collapsed="false">
      <c r="A58" s="54" t="n">
        <v>46216</v>
      </c>
      <c r="B58" s="55" t="n">
        <v>3.855</v>
      </c>
    </row>
    <row r="59" customFormat="false" ht="15" hidden="false" customHeight="true" outlineLevel="0" collapsed="false">
      <c r="A59" s="54" t="n">
        <v>46223</v>
      </c>
      <c r="B59" s="55" t="n">
        <v>4.001</v>
      </c>
    </row>
    <row r="60" customFormat="false" ht="15" hidden="false" customHeight="true" outlineLevel="0" collapsed="false">
      <c r="A60" s="54" t="n">
        <v>46230</v>
      </c>
      <c r="B60" s="55" t="n">
        <v>4.096</v>
      </c>
    </row>
    <row r="61" customFormat="false" ht="15" hidden="false" customHeight="true" outlineLevel="0" collapsed="false">
      <c r="A61" s="54" t="n">
        <v>46237</v>
      </c>
      <c r="B61" s="55" t="n">
        <v>4.079</v>
      </c>
    </row>
    <row r="62" customFormat="false" ht="15" hidden="false" customHeight="true" outlineLevel="0" collapsed="false">
      <c r="A62" s="54" t="n">
        <v>46244</v>
      </c>
      <c r="B62" s="55" t="n">
        <v>4.006</v>
      </c>
    </row>
    <row r="63" customFormat="false" ht="15" hidden="false" customHeight="true" outlineLevel="0" collapsed="false">
      <c r="A63" s="54" t="n">
        <v>46251</v>
      </c>
      <c r="B63" s="55" t="n">
        <v>4.049</v>
      </c>
    </row>
    <row r="64" customFormat="false" ht="15" hidden="false" customHeight="true" outlineLevel="0" collapsed="false">
      <c r="A64" s="54" t="n">
        <v>46258</v>
      </c>
      <c r="B64" s="55" t="n">
        <v>4.085</v>
      </c>
    </row>
    <row r="65" customFormat="false" ht="15" hidden="false" customHeight="true" outlineLevel="0" collapsed="false">
      <c r="A65" s="54" t="n">
        <v>46265</v>
      </c>
      <c r="B65" s="55" t="n">
        <v>4.071</v>
      </c>
    </row>
    <row r="66" customFormat="false" ht="15" hidden="false" customHeight="true" outlineLevel="0" collapsed="false">
      <c r="A66" s="54" t="n">
        <v>46272</v>
      </c>
      <c r="B66" s="55" t="n">
        <v>4.157</v>
      </c>
    </row>
    <row r="67" customFormat="false" ht="15" hidden="false" customHeight="true" outlineLevel="0" collapsed="false">
      <c r="A67" s="54" t="n">
        <v>46279</v>
      </c>
      <c r="B67" s="55" t="n">
        <v>4.319</v>
      </c>
    </row>
    <row r="68" customFormat="false" ht="15" hidden="false" customHeight="true" outlineLevel="0" collapsed="false">
      <c r="A68" s="54" t="n">
        <v>46286</v>
      </c>
      <c r="B68" s="55" t="n">
        <v>4.478</v>
      </c>
    </row>
    <row r="69" customFormat="false" ht="15" hidden="false" customHeight="true" outlineLevel="0" collapsed="false">
      <c r="A69" s="54" t="n">
        <v>46293</v>
      </c>
      <c r="B69" s="55" t="n">
        <v>4.465</v>
      </c>
    </row>
    <row r="70" customFormat="false" ht="15" hidden="false" customHeight="true" outlineLevel="0" collapsed="false">
      <c r="A70" s="54" t="n">
        <v>46300</v>
      </c>
      <c r="B70" s="55" t="n">
        <v>4.354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3" min="2" style="1" width="12"/>
    <col collapsed="false" customWidth="true" hidden="false" outlineLevel="0" max="4" min="4" style="1" width="14"/>
    <col collapsed="false" customWidth="true" hidden="false" outlineLevel="0" max="5" min="5" style="1" width="50"/>
  </cols>
  <sheetData>
    <row r="1" customFormat="false" ht="17.25" hidden="false" customHeight="true" outlineLevel="0" collapsed="false">
      <c r="A1" s="2" t="s">
        <v>507</v>
      </c>
    </row>
    <row r="2" customFormat="false" ht="15" hidden="false" customHeight="true" outlineLevel="0" collapsed="false">
      <c r="A2" s="3" t="s">
        <v>508</v>
      </c>
    </row>
    <row r="4" customFormat="false" ht="15" hidden="false" customHeight="true" outlineLevel="0" collapsed="false">
      <c r="A4" s="5" t="s">
        <v>509</v>
      </c>
      <c r="B4" s="5" t="s">
        <v>510</v>
      </c>
      <c r="C4" s="5" t="s">
        <v>511</v>
      </c>
      <c r="D4" s="5" t="s">
        <v>512</v>
      </c>
      <c r="E4" s="5" t="s">
        <v>513</v>
      </c>
    </row>
    <row r="5" customFormat="false" ht="15" hidden="false" customHeight="true" outlineLevel="0" collapsed="false">
      <c r="A5" s="6" t="s">
        <v>62</v>
      </c>
      <c r="B5" s="7" t="n">
        <v>104.221</v>
      </c>
      <c r="C5" s="7" t="n">
        <v>101.759</v>
      </c>
      <c r="D5" s="38" t="n">
        <f aca="false">(B5/C5-1)*100</f>
        <v>2.41944201495692</v>
      </c>
      <c r="E5" s="53" t="s">
        <v>514</v>
      </c>
    </row>
    <row r="6" customFormat="false" ht="15" hidden="false" customHeight="true" outlineLevel="0" collapsed="false">
      <c r="A6" s="6" t="s">
        <v>61</v>
      </c>
      <c r="B6" s="7" t="n">
        <v>104.126</v>
      </c>
      <c r="C6" s="7" t="n">
        <v>101.651</v>
      </c>
      <c r="D6" s="38" t="n">
        <f aca="false">(B6/C6-1)*100</f>
        <v>2.43480142841686</v>
      </c>
      <c r="E6" s="53" t="s">
        <v>515</v>
      </c>
    </row>
    <row r="7" customFormat="false" ht="15" hidden="false" customHeight="true" outlineLevel="0" collapsed="false">
      <c r="A7" s="6" t="s">
        <v>60</v>
      </c>
      <c r="B7" s="7" t="n">
        <v>97.427</v>
      </c>
      <c r="C7" s="7" t="n">
        <v>97.008</v>
      </c>
      <c r="D7" s="38" t="n">
        <f aca="false">(B7/C7-1)*100</f>
        <v>0.43192314035958</v>
      </c>
      <c r="E7" s="53" t="s">
        <v>516</v>
      </c>
    </row>
    <row r="8" customFormat="false" ht="15" hidden="false" customHeight="true" outlineLevel="0" collapsed="false">
      <c r="A8" s="6" t="s">
        <v>517</v>
      </c>
      <c r="B8" s="7" t="n">
        <v>96.69</v>
      </c>
      <c r="C8" s="7" t="n">
        <v>97.065</v>
      </c>
      <c r="D8" s="38" t="n">
        <f aca="false">(B8/C8-1)*100</f>
        <v>-0.386339051151285</v>
      </c>
      <c r="E8" s="53"/>
    </row>
    <row r="9" customFormat="false" ht="15" hidden="false" customHeight="true" outlineLevel="0" collapsed="false">
      <c r="A9" s="6" t="s">
        <v>64</v>
      </c>
      <c r="B9" s="7" t="n">
        <v>101.51</v>
      </c>
      <c r="C9" s="7" t="n">
        <v>101.193</v>
      </c>
      <c r="D9" s="38" t="n">
        <f aca="false">(B9/C9-1)*100</f>
        <v>0.313262775093137</v>
      </c>
      <c r="E9" s="53" t="s">
        <v>64</v>
      </c>
    </row>
    <row r="10" customFormat="false" ht="15" hidden="false" customHeight="true" outlineLevel="0" collapsed="false">
      <c r="A10" s="6" t="s">
        <v>65</v>
      </c>
      <c r="B10" s="7" t="n">
        <v>99.254</v>
      </c>
      <c r="C10" s="7" t="n">
        <v>98.753</v>
      </c>
      <c r="D10" s="38" t="n">
        <f aca="false">(B10/C10-1)*100</f>
        <v>0.50732635970554</v>
      </c>
      <c r="E10" s="53" t="s">
        <v>518</v>
      </c>
    </row>
    <row r="11" customFormat="false" ht="15" hidden="false" customHeight="true" outlineLevel="0" collapsed="false">
      <c r="A11" s="6" t="s">
        <v>519</v>
      </c>
      <c r="B11" s="7" t="n">
        <v>100.451</v>
      </c>
      <c r="C11" s="7" t="n">
        <v>103.185</v>
      </c>
      <c r="D11" s="38" t="n">
        <f aca="false">(B11/C11-1)*100</f>
        <v>-2.64960992392306</v>
      </c>
      <c r="E11" s="53" t="s">
        <v>520</v>
      </c>
    </row>
    <row r="12" customFormat="false" ht="15" hidden="false" customHeight="true" outlineLevel="0" collapsed="false">
      <c r="A12" s="6" t="s">
        <v>521</v>
      </c>
      <c r="B12" s="7" t="n">
        <v>99.371</v>
      </c>
      <c r="C12" s="7" t="n">
        <v>101.153</v>
      </c>
      <c r="D12" s="38" t="n">
        <f aca="false">(B12/C12-1)*100</f>
        <v>-1.76168774035373</v>
      </c>
      <c r="E12" s="53"/>
    </row>
    <row r="13" customFormat="false" ht="15" hidden="false" customHeight="true" outlineLevel="0" collapsed="false">
      <c r="A13" s="6" t="s">
        <v>522</v>
      </c>
      <c r="B13" s="7" t="n">
        <v>100.283</v>
      </c>
      <c r="C13" s="7" t="n">
        <v>101.409</v>
      </c>
      <c r="D13" s="38" t="n">
        <f aca="false">(B13/C13-1)*100</f>
        <v>-1.11035509668768</v>
      </c>
      <c r="E13" s="53"/>
    </row>
    <row r="14" customFormat="false" ht="15" hidden="false" customHeight="true" outlineLevel="0" collapsed="false">
      <c r="A14" s="6" t="s">
        <v>523</v>
      </c>
      <c r="B14" s="7" t="n">
        <v>99.604</v>
      </c>
      <c r="C14" s="7" t="n">
        <v>105.437</v>
      </c>
      <c r="D14" s="38" t="n">
        <f aca="false">(B14/C14-1)*100</f>
        <v>-5.5322135493233</v>
      </c>
      <c r="E14" s="53"/>
    </row>
    <row r="15" customFormat="false" ht="15" hidden="false" customHeight="true" outlineLevel="0" collapsed="false">
      <c r="A15" s="6" t="s">
        <v>69</v>
      </c>
      <c r="B15" s="7" t="n">
        <v>100.254</v>
      </c>
      <c r="C15" s="7" t="n">
        <v>100.136</v>
      </c>
      <c r="D15" s="38" t="n">
        <f aca="false">(B15/C15-1)*100</f>
        <v>0.117839737956382</v>
      </c>
      <c r="E15" s="53" t="s">
        <v>69</v>
      </c>
    </row>
    <row r="16" customFormat="false" ht="15" hidden="false" customHeight="true" outlineLevel="0" collapsed="false">
      <c r="A16" s="6" t="s">
        <v>70</v>
      </c>
      <c r="B16" s="7" t="n">
        <v>101.998</v>
      </c>
      <c r="C16" s="7" t="n">
        <v>101.218</v>
      </c>
      <c r="D16" s="38" t="n">
        <f aca="false">(B16/C16-1)*100</f>
        <v>0.770613922424857</v>
      </c>
      <c r="E16" s="53" t="s">
        <v>524</v>
      </c>
    </row>
    <row r="17" customFormat="false" ht="15" hidden="false" customHeight="true" outlineLevel="0" collapsed="false">
      <c r="A17" s="6" t="s">
        <v>76</v>
      </c>
      <c r="B17" s="7" t="n">
        <v>99.928</v>
      </c>
      <c r="C17" s="7" t="n">
        <v>99.994</v>
      </c>
      <c r="D17" s="38" t="n">
        <f aca="false">(B17/C17-1)*100</f>
        <v>-0.066003960237615</v>
      </c>
      <c r="E17" s="53" t="s">
        <v>525</v>
      </c>
    </row>
    <row r="18" customFormat="false" ht="15" hidden="false" customHeight="true" outlineLevel="0" collapsed="false">
      <c r="A18" s="6" t="s">
        <v>77</v>
      </c>
      <c r="B18" s="7" t="n">
        <v>99.984</v>
      </c>
      <c r="C18" s="7" t="n">
        <v>100.026</v>
      </c>
      <c r="D18" s="38" t="n">
        <f aca="false">(B18/C18-1)*100</f>
        <v>-0.0419890828384673</v>
      </c>
      <c r="E18" s="53" t="s">
        <v>526</v>
      </c>
    </row>
    <row r="19" customFormat="false" ht="15" hidden="false" customHeight="true" outlineLevel="0" collapsed="false">
      <c r="A19" s="6" t="s">
        <v>527</v>
      </c>
      <c r="B19" s="7" t="n">
        <v>103.515</v>
      </c>
      <c r="C19" s="7" t="n">
        <v>100.579</v>
      </c>
      <c r="D19" s="38" t="n">
        <f aca="false">(B19/C19-1)*100</f>
        <v>2.91909842014735</v>
      </c>
      <c r="E19" s="53" t="s">
        <v>528</v>
      </c>
    </row>
    <row r="20" customFormat="false" ht="15" hidden="false" customHeight="true" outlineLevel="0" collapsed="false">
      <c r="A20" s="6" t="s">
        <v>78</v>
      </c>
      <c r="B20" s="7" t="n">
        <v>100.014</v>
      </c>
      <c r="C20" s="7" t="n">
        <v>99.997</v>
      </c>
      <c r="D20" s="38" t="n">
        <f aca="false">(B20/C20-1)*100</f>
        <v>0.017000510015297</v>
      </c>
      <c r="E20" s="53" t="s">
        <v>78</v>
      </c>
    </row>
    <row r="21" customFormat="false" ht="15" hidden="false" customHeight="true" outlineLevel="0" collapsed="false">
      <c r="A21" s="6" t="s">
        <v>83</v>
      </c>
      <c r="B21" s="7" t="n">
        <v>99.811</v>
      </c>
      <c r="C21" s="7" t="n">
        <v>99.496</v>
      </c>
      <c r="D21" s="38" t="n">
        <f aca="false">(B21/C21-1)*100</f>
        <v>0.316595642035877</v>
      </c>
      <c r="E21" s="53" t="s">
        <v>83</v>
      </c>
    </row>
    <row r="22" customFormat="false" ht="15" hidden="false" customHeight="true" outlineLevel="0" collapsed="false">
      <c r="A22" s="6" t="s">
        <v>84</v>
      </c>
      <c r="B22" s="7" t="n">
        <v>95.821</v>
      </c>
      <c r="C22" s="7" t="n">
        <v>96.623</v>
      </c>
      <c r="D22" s="38" t="n">
        <f aca="false">(B22/C22-1)*100</f>
        <v>-0.830030117052882</v>
      </c>
      <c r="E22" s="53" t="s">
        <v>84</v>
      </c>
    </row>
    <row r="23" customFormat="false" ht="15" hidden="false" customHeight="true" outlineLevel="0" collapsed="false">
      <c r="A23" s="6" t="s">
        <v>529</v>
      </c>
      <c r="B23" s="7" t="n">
        <v>97.162</v>
      </c>
      <c r="C23" s="7" t="n">
        <v>97.809</v>
      </c>
      <c r="D23" s="38" t="n">
        <f aca="false">(B23/C23-1)*100</f>
        <v>-0.661493318610751</v>
      </c>
      <c r="E23" s="53" t="s">
        <v>530</v>
      </c>
    </row>
    <row r="24" customFormat="false" ht="15" hidden="false" customHeight="true" outlineLevel="0" collapsed="false">
      <c r="A24" s="6" t="s">
        <v>531</v>
      </c>
      <c r="B24" s="7" t="n">
        <v>105.128</v>
      </c>
      <c r="C24" s="7" t="n">
        <v>99.789</v>
      </c>
      <c r="D24" s="38" t="n">
        <f aca="false">(B24/C24-1)*100</f>
        <v>5.35028911002216</v>
      </c>
      <c r="E24" s="53"/>
    </row>
    <row r="25" customFormat="false" ht="15" hidden="false" customHeight="true" outlineLevel="0" collapsed="false">
      <c r="A25" s="6" t="s">
        <v>532</v>
      </c>
      <c r="B25" s="7" t="n">
        <v>99.975</v>
      </c>
      <c r="C25" s="7" t="n">
        <v>100.18</v>
      </c>
      <c r="D25" s="38" t="n">
        <f aca="false">(B25/C25-1)*100</f>
        <v>-0.204631663006605</v>
      </c>
      <c r="E25" s="53" t="s">
        <v>533</v>
      </c>
    </row>
    <row r="26" customFormat="false" ht="15" hidden="false" customHeight="true" outlineLevel="0" collapsed="false">
      <c r="A26" s="6" t="s">
        <v>534</v>
      </c>
      <c r="B26" s="7" t="n">
        <v>100.119</v>
      </c>
      <c r="C26" s="7" t="n">
        <v>100.435</v>
      </c>
      <c r="D26" s="38" t="n">
        <f aca="false">(B26/C26-1)*100</f>
        <v>-0.314631353611794</v>
      </c>
      <c r="E26" s="53"/>
    </row>
    <row r="27" customFormat="false" ht="15" hidden="false" customHeight="true" outlineLevel="0" collapsed="false">
      <c r="A27" s="6" t="s">
        <v>535</v>
      </c>
      <c r="B27" s="7" t="n">
        <v>100.162</v>
      </c>
      <c r="C27" s="7" t="n">
        <v>100.801</v>
      </c>
      <c r="D27" s="38" t="n">
        <f aca="false">(B27/C27-1)*100</f>
        <v>-0.63392228251703</v>
      </c>
      <c r="E27" s="53" t="s">
        <v>536</v>
      </c>
    </row>
    <row r="28" customFormat="false" ht="15" hidden="false" customHeight="true" outlineLevel="0" collapsed="false">
      <c r="A28" s="6" t="s">
        <v>537</v>
      </c>
      <c r="B28" s="7" t="n">
        <v>99.585</v>
      </c>
      <c r="C28" s="7" t="n">
        <v>100.865</v>
      </c>
      <c r="D28" s="38" t="n">
        <f aca="false">(B28/C28-1)*100</f>
        <v>-1.26902295146979</v>
      </c>
      <c r="E28" s="53"/>
    </row>
    <row r="29" customFormat="false" ht="15" hidden="false" customHeight="true" outlineLevel="0" collapsed="false">
      <c r="A29" s="6" t="s">
        <v>538</v>
      </c>
      <c r="B29" s="7" t="n">
        <v>99.998</v>
      </c>
      <c r="C29" s="7" t="n">
        <v>99.744</v>
      </c>
      <c r="D29" s="38" t="n">
        <f aca="false">(B29/C29-1)*100</f>
        <v>0.254651908886761</v>
      </c>
      <c r="E29" s="53"/>
    </row>
    <row r="30" customFormat="false" ht="15" hidden="false" customHeight="true" outlineLevel="0" collapsed="false">
      <c r="A30" s="6" t="s">
        <v>539</v>
      </c>
      <c r="B30" s="7" t="n">
        <v>100.882</v>
      </c>
      <c r="C30" s="7" t="n">
        <v>100.11</v>
      </c>
      <c r="D30" s="38" t="n">
        <f aca="false">(B30/C30-1)*100</f>
        <v>0.771151733093611</v>
      </c>
      <c r="E30" s="53" t="s">
        <v>540</v>
      </c>
    </row>
    <row r="31" customFormat="false" ht="15" hidden="false" customHeight="true" outlineLevel="0" collapsed="false">
      <c r="A31" s="6" t="s">
        <v>541</v>
      </c>
      <c r="B31" s="7" t="n">
        <v>101.306</v>
      </c>
      <c r="C31" s="7" t="n">
        <v>100.464</v>
      </c>
      <c r="D31" s="38" t="n">
        <f aca="false">(B31/C31-1)*100</f>
        <v>0.838111164198119</v>
      </c>
      <c r="E31" s="53" t="s">
        <v>540</v>
      </c>
    </row>
    <row r="32" customFormat="false" ht="15" hidden="false" customHeight="true" outlineLevel="0" collapsed="false">
      <c r="A32" s="6" t="s">
        <v>542</v>
      </c>
      <c r="B32" s="7" t="n">
        <v>100.076</v>
      </c>
      <c r="C32" s="7" t="n">
        <v>100.012</v>
      </c>
      <c r="D32" s="38" t="n">
        <f aca="false">(B32/C32-1)*100</f>
        <v>0.063992320921491</v>
      </c>
      <c r="E32" s="53" t="s">
        <v>540</v>
      </c>
    </row>
    <row r="36" customFormat="false" ht="15" hidden="false" customHeight="true" outlineLevel="0" collapsed="false">
      <c r="A36" s="3" t="s">
        <v>543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2026-10-14T12:38:01Z</dcterms:created>
  <dc:description/>
  <dc:language>en-US</dc:language>
  <dcterms:modified xsi:type="dcterms:W3CDTF">2026-10-23T14:02:17Z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